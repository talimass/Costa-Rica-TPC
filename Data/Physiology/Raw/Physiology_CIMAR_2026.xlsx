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C\Phd\Costa rica-2026\TPC\Physiology\"/>
    </mc:Choice>
  </mc:AlternateContent>
  <xr:revisionPtr revIDLastSave="0" documentId="13_ncr:1_{9C785F4C-AD1E-4BEB-B8FD-C336ACCCF0EE}" xr6:coauthVersionLast="47" xr6:coauthVersionMax="47" xr10:uidLastSave="{00000000-0000-0000-0000-000000000000}"/>
  <bookViews>
    <workbookView xWindow="1140" yWindow="-20460" windowWidth="16935" windowHeight="15225" xr2:uid="{00000000-000D-0000-FFFF-FFFF00000000}"/>
  </bookViews>
  <sheets>
    <sheet name="CIMAR_EndosymCount" sheetId="1" r:id="rId1"/>
    <sheet name="CIMAR_Protein" sheetId="2" r:id="rId2"/>
    <sheet name="CIMAR_Ch" sheetId="3" r:id="rId3"/>
    <sheet name="Example" sheetId="4" r:id="rId4"/>
    <sheet name="Chl_examp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DCDvCpHv1ff1+PeqJmpC7BKbOdq23j+MyM2xPwDLn9Y="/>
    </ext>
  </extLst>
</workbook>
</file>

<file path=xl/calcChain.xml><?xml version="1.0" encoding="utf-8"?>
<calcChain xmlns="http://schemas.openxmlformats.org/spreadsheetml/2006/main">
  <c r="N3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O17" i="3" s="1"/>
  <c r="N18" i="3"/>
  <c r="N19" i="3"/>
  <c r="N20" i="3"/>
  <c r="N21" i="3"/>
  <c r="N22" i="3"/>
  <c r="N23" i="3"/>
  <c r="N24" i="3"/>
  <c r="N25" i="3"/>
  <c r="O25" i="3" s="1"/>
  <c r="N26" i="3"/>
  <c r="N27" i="3"/>
  <c r="N28" i="3"/>
  <c r="N29" i="3"/>
  <c r="N30" i="3"/>
  <c r="N31" i="3"/>
  <c r="N32" i="3"/>
  <c r="N33" i="3"/>
  <c r="O33" i="3" s="1"/>
  <c r="N34" i="3"/>
  <c r="N35" i="3"/>
  <c r="N36" i="3"/>
  <c r="N37" i="3"/>
  <c r="N38" i="3"/>
  <c r="N39" i="3"/>
  <c r="N40" i="3"/>
  <c r="N41" i="3"/>
  <c r="O41" i="3" s="1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4" i="3"/>
  <c r="I105" i="5"/>
  <c r="J105" i="5" s="1"/>
  <c r="J104" i="5"/>
  <c r="I104" i="5"/>
  <c r="J103" i="5"/>
  <c r="I103" i="5"/>
  <c r="I102" i="5"/>
  <c r="J102" i="5" s="1"/>
  <c r="I101" i="5"/>
  <c r="J101" i="5" s="1"/>
  <c r="I100" i="5"/>
  <c r="J100" i="5" s="1"/>
  <c r="J99" i="5"/>
  <c r="I99" i="5"/>
  <c r="I98" i="5"/>
  <c r="J98" i="5" s="1"/>
  <c r="J97" i="5"/>
  <c r="I97" i="5"/>
  <c r="I96" i="5"/>
  <c r="J96" i="5" s="1"/>
  <c r="I95" i="5"/>
  <c r="J95" i="5" s="1"/>
  <c r="J94" i="5"/>
  <c r="I94" i="5"/>
  <c r="J93" i="5"/>
  <c r="I93" i="5"/>
  <c r="I92" i="5"/>
  <c r="J92" i="5" s="1"/>
  <c r="J91" i="5"/>
  <c r="I91" i="5"/>
  <c r="J90" i="5"/>
  <c r="I90" i="5"/>
  <c r="I89" i="5"/>
  <c r="J89" i="5" s="1"/>
  <c r="I88" i="5"/>
  <c r="J87" i="5"/>
  <c r="I87" i="5"/>
  <c r="J86" i="5"/>
  <c r="I86" i="5"/>
  <c r="J85" i="5"/>
  <c r="I85" i="5"/>
  <c r="I84" i="5"/>
  <c r="J84" i="5" s="1"/>
  <c r="I83" i="5"/>
  <c r="J83" i="5" s="1"/>
  <c r="J82" i="5"/>
  <c r="I82" i="5"/>
  <c r="I81" i="5"/>
  <c r="J81" i="5" s="1"/>
  <c r="I80" i="5"/>
  <c r="J80" i="5" s="1"/>
  <c r="J79" i="5"/>
  <c r="I79" i="5"/>
  <c r="I78" i="5"/>
  <c r="J78" i="5" s="1"/>
  <c r="I77" i="5"/>
  <c r="J77" i="5" s="1"/>
  <c r="J76" i="5"/>
  <c r="I76" i="5"/>
  <c r="I75" i="5"/>
  <c r="J75" i="5" s="1"/>
  <c r="I74" i="5"/>
  <c r="J74" i="5" s="1"/>
  <c r="J73" i="5"/>
  <c r="I73" i="5"/>
  <c r="I72" i="5"/>
  <c r="J72" i="5" s="1"/>
  <c r="J71" i="5"/>
  <c r="I71" i="5"/>
  <c r="J70" i="5"/>
  <c r="I70" i="5"/>
  <c r="J69" i="5"/>
  <c r="I69" i="5"/>
  <c r="I68" i="5"/>
  <c r="J68" i="5" s="1"/>
  <c r="I67" i="5"/>
  <c r="S62" i="5"/>
  <c r="I62" i="5"/>
  <c r="E62" i="5"/>
  <c r="S61" i="5"/>
  <c r="I61" i="5"/>
  <c r="E61" i="5"/>
  <c r="S60" i="5"/>
  <c r="I60" i="5"/>
  <c r="E60" i="5"/>
  <c r="S59" i="5"/>
  <c r="I59" i="5"/>
  <c r="E59" i="5"/>
  <c r="S58" i="5"/>
  <c r="I58" i="5"/>
  <c r="E58" i="5"/>
  <c r="S57" i="5"/>
  <c r="I57" i="5"/>
  <c r="E57" i="5"/>
  <c r="S56" i="5"/>
  <c r="I56" i="5"/>
  <c r="E56" i="5"/>
  <c r="AA55" i="5"/>
  <c r="S55" i="5"/>
  <c r="I55" i="5"/>
  <c r="E55" i="5"/>
  <c r="AA54" i="5"/>
  <c r="S54" i="5"/>
  <c r="I54" i="5"/>
  <c r="E54" i="5"/>
  <c r="AA53" i="5"/>
  <c r="S53" i="5"/>
  <c r="I53" i="5"/>
  <c r="E53" i="5"/>
  <c r="AA52" i="5"/>
  <c r="S52" i="5"/>
  <c r="I52" i="5"/>
  <c r="E52" i="5"/>
  <c r="AA51" i="5"/>
  <c r="S51" i="5"/>
  <c r="I51" i="5"/>
  <c r="E51" i="5"/>
  <c r="AA50" i="5"/>
  <c r="S50" i="5"/>
  <c r="I50" i="5"/>
  <c r="E50" i="5"/>
  <c r="AA49" i="5"/>
  <c r="S49" i="5"/>
  <c r="I49" i="5"/>
  <c r="E49" i="5"/>
  <c r="AA48" i="5"/>
  <c r="S48" i="5"/>
  <c r="I48" i="5"/>
  <c r="E48" i="5"/>
  <c r="AA47" i="5"/>
  <c r="S47" i="5"/>
  <c r="I47" i="5"/>
  <c r="E47" i="5"/>
  <c r="AA46" i="5"/>
  <c r="S46" i="5"/>
  <c r="I46" i="5"/>
  <c r="E46" i="5"/>
  <c r="AA45" i="5"/>
  <c r="S45" i="5"/>
  <c r="I45" i="5"/>
  <c r="E45" i="5"/>
  <c r="AA44" i="5"/>
  <c r="S44" i="5"/>
  <c r="M44" i="5"/>
  <c r="I44" i="5"/>
  <c r="E44" i="5"/>
  <c r="AA43" i="5"/>
  <c r="S43" i="5"/>
  <c r="M43" i="5"/>
  <c r="I43" i="5"/>
  <c r="E43" i="5"/>
  <c r="AA42" i="5"/>
  <c r="S42" i="5"/>
  <c r="M42" i="5"/>
  <c r="I42" i="5"/>
  <c r="E42" i="5"/>
  <c r="AA41" i="5"/>
  <c r="S41" i="5"/>
  <c r="M41" i="5"/>
  <c r="I41" i="5"/>
  <c r="E41" i="5"/>
  <c r="AA40" i="5"/>
  <c r="S40" i="5"/>
  <c r="M40" i="5"/>
  <c r="I40" i="5"/>
  <c r="E40" i="5"/>
  <c r="AA39" i="5"/>
  <c r="S39" i="5"/>
  <c r="M39" i="5"/>
  <c r="I39" i="5"/>
  <c r="E39" i="5"/>
  <c r="AA38" i="5"/>
  <c r="S38" i="5"/>
  <c r="M38" i="5"/>
  <c r="I38" i="5"/>
  <c r="E38" i="5"/>
  <c r="AA37" i="5"/>
  <c r="S37" i="5"/>
  <c r="M37" i="5"/>
  <c r="I37" i="5"/>
  <c r="E37" i="5"/>
  <c r="AA36" i="5"/>
  <c r="S36" i="5"/>
  <c r="M36" i="5"/>
  <c r="I36" i="5"/>
  <c r="E36" i="5"/>
  <c r="AA35" i="5"/>
  <c r="S35" i="5"/>
  <c r="M35" i="5"/>
  <c r="I35" i="5"/>
  <c r="E35" i="5"/>
  <c r="AA34" i="5"/>
  <c r="S34" i="5"/>
  <c r="M34" i="5"/>
  <c r="I34" i="5"/>
  <c r="E34" i="5"/>
  <c r="AA33" i="5"/>
  <c r="S33" i="5"/>
  <c r="M33" i="5"/>
  <c r="I33" i="5"/>
  <c r="E33" i="5"/>
  <c r="AA32" i="5"/>
  <c r="S32" i="5"/>
  <c r="M32" i="5"/>
  <c r="I32" i="5"/>
  <c r="E32" i="5"/>
  <c r="AA31" i="5"/>
  <c r="W31" i="5"/>
  <c r="S31" i="5"/>
  <c r="M31" i="5"/>
  <c r="I31" i="5"/>
  <c r="E31" i="5"/>
  <c r="AA30" i="5"/>
  <c r="W30" i="5"/>
  <c r="S30" i="5"/>
  <c r="M30" i="5"/>
  <c r="I30" i="5"/>
  <c r="E30" i="5"/>
  <c r="AA29" i="5"/>
  <c r="W29" i="5"/>
  <c r="S29" i="5"/>
  <c r="M29" i="5"/>
  <c r="I29" i="5"/>
  <c r="E29" i="5"/>
  <c r="AA28" i="5"/>
  <c r="W28" i="5"/>
  <c r="S28" i="5"/>
  <c r="M28" i="5"/>
  <c r="I28" i="5"/>
  <c r="E28" i="5"/>
  <c r="AA27" i="5"/>
  <c r="W27" i="5"/>
  <c r="S27" i="5"/>
  <c r="M27" i="5"/>
  <c r="I27" i="5"/>
  <c r="E27" i="5"/>
  <c r="AA26" i="5"/>
  <c r="W26" i="5"/>
  <c r="S26" i="5"/>
  <c r="M26" i="5"/>
  <c r="I26" i="5"/>
  <c r="E26" i="5"/>
  <c r="AA25" i="5"/>
  <c r="W25" i="5"/>
  <c r="S25" i="5"/>
  <c r="M25" i="5"/>
  <c r="I25" i="5"/>
  <c r="E25" i="5"/>
  <c r="AA24" i="5"/>
  <c r="W24" i="5"/>
  <c r="S24" i="5"/>
  <c r="M24" i="5"/>
  <c r="I24" i="5"/>
  <c r="E24" i="5"/>
  <c r="AA23" i="5"/>
  <c r="W23" i="5"/>
  <c r="S23" i="5"/>
  <c r="M23" i="5"/>
  <c r="I23" i="5"/>
  <c r="E23" i="5"/>
  <c r="AA22" i="5"/>
  <c r="W22" i="5"/>
  <c r="S22" i="5"/>
  <c r="M22" i="5"/>
  <c r="I22" i="5"/>
  <c r="E22" i="5"/>
  <c r="AA21" i="5"/>
  <c r="W21" i="5"/>
  <c r="S21" i="5"/>
  <c r="M21" i="5"/>
  <c r="I21" i="5"/>
  <c r="E21" i="5"/>
  <c r="AA20" i="5"/>
  <c r="W20" i="5"/>
  <c r="S20" i="5"/>
  <c r="M20" i="5"/>
  <c r="I20" i="5"/>
  <c r="E20" i="5"/>
  <c r="AA19" i="5"/>
  <c r="W19" i="5"/>
  <c r="S19" i="5"/>
  <c r="M19" i="5"/>
  <c r="I19" i="5"/>
  <c r="E19" i="5"/>
  <c r="AA18" i="5"/>
  <c r="W18" i="5"/>
  <c r="S18" i="5"/>
  <c r="M18" i="5"/>
  <c r="I18" i="5"/>
  <c r="E18" i="5"/>
  <c r="AA17" i="5"/>
  <c r="W17" i="5"/>
  <c r="S17" i="5"/>
  <c r="M17" i="5"/>
  <c r="I17" i="5"/>
  <c r="E17" i="5"/>
  <c r="AA16" i="5"/>
  <c r="W16" i="5"/>
  <c r="S16" i="5"/>
  <c r="M16" i="5"/>
  <c r="I16" i="5"/>
  <c r="E16" i="5"/>
  <c r="AA15" i="5"/>
  <c r="W15" i="5"/>
  <c r="S15" i="5"/>
  <c r="M15" i="5"/>
  <c r="I15" i="5"/>
  <c r="E15" i="5"/>
  <c r="AA14" i="5"/>
  <c r="W14" i="5"/>
  <c r="S14" i="5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M82" i="3"/>
  <c r="O82" i="3" s="1"/>
  <c r="J82" i="3"/>
  <c r="G82" i="3"/>
  <c r="D82" i="3"/>
  <c r="O81" i="3"/>
  <c r="M81" i="3"/>
  <c r="J81" i="3"/>
  <c r="G81" i="3"/>
  <c r="D81" i="3"/>
  <c r="M80" i="3"/>
  <c r="J80" i="3"/>
  <c r="G80" i="3"/>
  <c r="D80" i="3"/>
  <c r="M79" i="3"/>
  <c r="J79" i="3"/>
  <c r="G79" i="3"/>
  <c r="D79" i="3"/>
  <c r="M78" i="3"/>
  <c r="J78" i="3"/>
  <c r="G78" i="3"/>
  <c r="O78" i="3" s="1"/>
  <c r="D78" i="3"/>
  <c r="M77" i="3"/>
  <c r="O77" i="3" s="1"/>
  <c r="J77" i="3"/>
  <c r="G77" i="3"/>
  <c r="D77" i="3"/>
  <c r="M76" i="3"/>
  <c r="J76" i="3"/>
  <c r="G76" i="3"/>
  <c r="O76" i="3" s="1"/>
  <c r="D76" i="3"/>
  <c r="M75" i="3"/>
  <c r="J75" i="3"/>
  <c r="G75" i="3"/>
  <c r="O75" i="3" s="1"/>
  <c r="D75" i="3"/>
  <c r="M74" i="3"/>
  <c r="J74" i="3"/>
  <c r="G74" i="3"/>
  <c r="O74" i="3" s="1"/>
  <c r="D74" i="3"/>
  <c r="O73" i="3"/>
  <c r="M73" i="3"/>
  <c r="J73" i="3"/>
  <c r="G73" i="3"/>
  <c r="D73" i="3"/>
  <c r="M72" i="3"/>
  <c r="J72" i="3"/>
  <c r="G72" i="3"/>
  <c r="O72" i="3" s="1"/>
  <c r="D72" i="3"/>
  <c r="M71" i="3"/>
  <c r="J71" i="3"/>
  <c r="G71" i="3"/>
  <c r="O71" i="3" s="1"/>
  <c r="D71" i="3"/>
  <c r="M70" i="3"/>
  <c r="J70" i="3"/>
  <c r="O70" i="3" s="1"/>
  <c r="G70" i="3"/>
  <c r="D70" i="3"/>
  <c r="M69" i="3"/>
  <c r="O69" i="3" s="1"/>
  <c r="J69" i="3"/>
  <c r="G69" i="3"/>
  <c r="D69" i="3"/>
  <c r="M68" i="3"/>
  <c r="J68" i="3"/>
  <c r="G68" i="3"/>
  <c r="D68" i="3"/>
  <c r="M67" i="3"/>
  <c r="J67" i="3"/>
  <c r="G67" i="3"/>
  <c r="D67" i="3"/>
  <c r="M66" i="3"/>
  <c r="J66" i="3"/>
  <c r="G66" i="3"/>
  <c r="D66" i="3"/>
  <c r="O65" i="3"/>
  <c r="M65" i="3"/>
  <c r="J65" i="3"/>
  <c r="G65" i="3"/>
  <c r="D65" i="3"/>
  <c r="M64" i="3"/>
  <c r="J64" i="3"/>
  <c r="G64" i="3"/>
  <c r="D64" i="3"/>
  <c r="M63" i="3"/>
  <c r="J63" i="3"/>
  <c r="G63" i="3"/>
  <c r="D63" i="3"/>
  <c r="M62" i="3"/>
  <c r="J62" i="3"/>
  <c r="G62" i="3"/>
  <c r="D62" i="3"/>
  <c r="M61" i="3"/>
  <c r="J61" i="3"/>
  <c r="G61" i="3"/>
  <c r="D61" i="3"/>
  <c r="M60" i="3"/>
  <c r="J60" i="3"/>
  <c r="G60" i="3"/>
  <c r="D60" i="3"/>
  <c r="M59" i="3"/>
  <c r="J59" i="3"/>
  <c r="G59" i="3"/>
  <c r="O59" i="3" s="1"/>
  <c r="D59" i="3"/>
  <c r="M58" i="3"/>
  <c r="J58" i="3"/>
  <c r="G58" i="3"/>
  <c r="O58" i="3" s="1"/>
  <c r="D58" i="3"/>
  <c r="O57" i="3"/>
  <c r="M57" i="3"/>
  <c r="J57" i="3"/>
  <c r="G57" i="3"/>
  <c r="D57" i="3"/>
  <c r="M56" i="3"/>
  <c r="J56" i="3"/>
  <c r="G56" i="3"/>
  <c r="D56" i="3"/>
  <c r="M55" i="3"/>
  <c r="J55" i="3"/>
  <c r="G55" i="3"/>
  <c r="D55" i="3"/>
  <c r="M54" i="3"/>
  <c r="J54" i="3"/>
  <c r="G54" i="3"/>
  <c r="D54" i="3"/>
  <c r="M53" i="3"/>
  <c r="O53" i="3" s="1"/>
  <c r="J53" i="3"/>
  <c r="G53" i="3"/>
  <c r="D53" i="3"/>
  <c r="M52" i="3"/>
  <c r="J52" i="3"/>
  <c r="G52" i="3"/>
  <c r="D52" i="3"/>
  <c r="M51" i="3"/>
  <c r="J51" i="3"/>
  <c r="O52" i="3" s="1"/>
  <c r="G51" i="3"/>
  <c r="D51" i="3"/>
  <c r="M50" i="3"/>
  <c r="J50" i="3"/>
  <c r="G50" i="3"/>
  <c r="O51" i="3" s="1"/>
  <c r="D50" i="3"/>
  <c r="M49" i="3"/>
  <c r="J49" i="3"/>
  <c r="G49" i="3"/>
  <c r="D49" i="3"/>
  <c r="M48" i="3"/>
  <c r="J48" i="3"/>
  <c r="G48" i="3"/>
  <c r="D48" i="3"/>
  <c r="M47" i="3"/>
  <c r="J47" i="3"/>
  <c r="G47" i="3"/>
  <c r="D47" i="3"/>
  <c r="M46" i="3"/>
  <c r="J46" i="3"/>
  <c r="G46" i="3"/>
  <c r="O47" i="3" s="1"/>
  <c r="D46" i="3"/>
  <c r="M45" i="3"/>
  <c r="J45" i="3"/>
  <c r="G45" i="3"/>
  <c r="O46" i="3" s="1"/>
  <c r="D45" i="3"/>
  <c r="M44" i="3"/>
  <c r="J44" i="3"/>
  <c r="O45" i="3" s="1"/>
  <c r="G44" i="3"/>
  <c r="D44" i="3"/>
  <c r="M43" i="3"/>
  <c r="J43" i="3"/>
  <c r="G43" i="3"/>
  <c r="O44" i="3" s="1"/>
  <c r="D43" i="3"/>
  <c r="M42" i="3"/>
  <c r="J42" i="3"/>
  <c r="G42" i="3"/>
  <c r="O42" i="3" s="1"/>
  <c r="D42" i="3"/>
  <c r="M41" i="3"/>
  <c r="J41" i="3"/>
  <c r="G41" i="3"/>
  <c r="D41" i="3"/>
  <c r="M40" i="3"/>
  <c r="J40" i="3"/>
  <c r="G40" i="3"/>
  <c r="O40" i="3" s="1"/>
  <c r="D40" i="3"/>
  <c r="M39" i="3"/>
  <c r="J39" i="3"/>
  <c r="G39" i="3"/>
  <c r="O39" i="3" s="1"/>
  <c r="D39" i="3"/>
  <c r="M38" i="3"/>
  <c r="J38" i="3"/>
  <c r="O38" i="3" s="1"/>
  <c r="G38" i="3"/>
  <c r="D38" i="3"/>
  <c r="M37" i="3"/>
  <c r="O37" i="3" s="1"/>
  <c r="J37" i="3"/>
  <c r="G37" i="3"/>
  <c r="D37" i="3"/>
  <c r="M36" i="3"/>
  <c r="J36" i="3"/>
  <c r="G36" i="3"/>
  <c r="D36" i="3"/>
  <c r="M35" i="3"/>
  <c r="J35" i="3"/>
  <c r="G35" i="3"/>
  <c r="D35" i="3"/>
  <c r="M34" i="3"/>
  <c r="J34" i="3"/>
  <c r="G34" i="3"/>
  <c r="O34" i="3" s="1"/>
  <c r="D34" i="3"/>
  <c r="M33" i="3"/>
  <c r="J33" i="3"/>
  <c r="G33" i="3"/>
  <c r="D33" i="3"/>
  <c r="M32" i="3"/>
  <c r="J32" i="3"/>
  <c r="G32" i="3"/>
  <c r="D32" i="3"/>
  <c r="M31" i="3"/>
  <c r="J31" i="3"/>
  <c r="G31" i="3"/>
  <c r="D31" i="3"/>
  <c r="M30" i="3"/>
  <c r="J30" i="3"/>
  <c r="G30" i="3"/>
  <c r="D30" i="3"/>
  <c r="M29" i="3"/>
  <c r="J29" i="3"/>
  <c r="G29" i="3"/>
  <c r="D29" i="3"/>
  <c r="M28" i="3"/>
  <c r="J28" i="3"/>
  <c r="G28" i="3"/>
  <c r="O28" i="3" s="1"/>
  <c r="D28" i="3"/>
  <c r="M27" i="3"/>
  <c r="J27" i="3"/>
  <c r="G27" i="3"/>
  <c r="O27" i="3" s="1"/>
  <c r="D27" i="3"/>
  <c r="M26" i="3"/>
  <c r="J26" i="3"/>
  <c r="G26" i="3"/>
  <c r="D26" i="3"/>
  <c r="M25" i="3"/>
  <c r="J25" i="3"/>
  <c r="G25" i="3"/>
  <c r="D25" i="3"/>
  <c r="M24" i="3"/>
  <c r="J24" i="3"/>
  <c r="G24" i="3"/>
  <c r="D24" i="3"/>
  <c r="M23" i="3"/>
  <c r="J23" i="3"/>
  <c r="G23" i="3"/>
  <c r="D23" i="3"/>
  <c r="M22" i="3"/>
  <c r="J22" i="3"/>
  <c r="G22" i="3"/>
  <c r="D22" i="3"/>
  <c r="M21" i="3"/>
  <c r="O21" i="3" s="1"/>
  <c r="J21" i="3"/>
  <c r="G21" i="3"/>
  <c r="D21" i="3"/>
  <c r="M20" i="3"/>
  <c r="J20" i="3"/>
  <c r="O20" i="3" s="1"/>
  <c r="G20" i="3"/>
  <c r="D20" i="3"/>
  <c r="M19" i="3"/>
  <c r="J19" i="3"/>
  <c r="G19" i="3"/>
  <c r="O19" i="3" s="1"/>
  <c r="D19" i="3"/>
  <c r="M18" i="3"/>
  <c r="J18" i="3"/>
  <c r="G18" i="3"/>
  <c r="D18" i="3"/>
  <c r="M17" i="3"/>
  <c r="J17" i="3"/>
  <c r="G17" i="3"/>
  <c r="D17" i="3"/>
  <c r="M16" i="3"/>
  <c r="J16" i="3"/>
  <c r="G16" i="3"/>
  <c r="D16" i="3"/>
  <c r="M15" i="3"/>
  <c r="O15" i="3" s="1"/>
  <c r="J15" i="3"/>
  <c r="G15" i="3"/>
  <c r="D15" i="3"/>
  <c r="M14" i="3"/>
  <c r="J14" i="3"/>
  <c r="G14" i="3"/>
  <c r="O14" i="3" s="1"/>
  <c r="D14" i="3"/>
  <c r="M13" i="3"/>
  <c r="O13" i="3" s="1"/>
  <c r="J13" i="3"/>
  <c r="G13" i="3"/>
  <c r="D13" i="3"/>
  <c r="M12" i="3"/>
  <c r="J12" i="3"/>
  <c r="G12" i="3"/>
  <c r="O12" i="3" s="1"/>
  <c r="D12" i="3"/>
  <c r="M11" i="3"/>
  <c r="J11" i="3"/>
  <c r="G11" i="3"/>
  <c r="O11" i="3" s="1"/>
  <c r="D11" i="3"/>
  <c r="M10" i="3"/>
  <c r="J10" i="3"/>
  <c r="G10" i="3"/>
  <c r="D10" i="3"/>
  <c r="O9" i="3"/>
  <c r="M9" i="3"/>
  <c r="J9" i="3"/>
  <c r="G9" i="3"/>
  <c r="D9" i="3"/>
  <c r="M8" i="3"/>
  <c r="J8" i="3"/>
  <c r="G8" i="3"/>
  <c r="O8" i="3" s="1"/>
  <c r="D8" i="3"/>
  <c r="M7" i="3"/>
  <c r="J7" i="3"/>
  <c r="G7" i="3"/>
  <c r="O7" i="3" s="1"/>
  <c r="D7" i="3"/>
  <c r="M6" i="3"/>
  <c r="J6" i="3"/>
  <c r="O6" i="3" s="1"/>
  <c r="G6" i="3"/>
  <c r="D6" i="3"/>
  <c r="M5" i="3"/>
  <c r="O5" i="3" s="1"/>
  <c r="J5" i="3"/>
  <c r="G5" i="3"/>
  <c r="D5" i="3"/>
  <c r="M4" i="3"/>
  <c r="J4" i="3"/>
  <c r="O4" i="3" s="1"/>
  <c r="G4" i="3"/>
  <c r="D4" i="3"/>
  <c r="M3" i="3"/>
  <c r="J3" i="3"/>
  <c r="G3" i="3"/>
  <c r="D3" i="3"/>
  <c r="O3" i="3" s="1"/>
  <c r="M2" i="3"/>
  <c r="J2" i="3"/>
  <c r="G2" i="3"/>
  <c r="D2" i="3"/>
  <c r="E81" i="2"/>
  <c r="F81" i="2" s="1"/>
  <c r="G81" i="2" s="1"/>
  <c r="H81" i="2" s="1"/>
  <c r="E80" i="2"/>
  <c r="F80" i="2" s="1"/>
  <c r="G80" i="2" s="1"/>
  <c r="H80" i="2" s="1"/>
  <c r="E79" i="2"/>
  <c r="F79" i="2" s="1"/>
  <c r="G79" i="2" s="1"/>
  <c r="H79" i="2" s="1"/>
  <c r="E78" i="2"/>
  <c r="F78" i="2" s="1"/>
  <c r="G78" i="2" s="1"/>
  <c r="H78" i="2" s="1"/>
  <c r="E77" i="2"/>
  <c r="F77" i="2" s="1"/>
  <c r="G77" i="2" s="1"/>
  <c r="H77" i="2" s="1"/>
  <c r="F76" i="2"/>
  <c r="G76" i="2" s="1"/>
  <c r="H76" i="2" s="1"/>
  <c r="E76" i="2"/>
  <c r="E75" i="2"/>
  <c r="F75" i="2" s="1"/>
  <c r="G75" i="2" s="1"/>
  <c r="H75" i="2" s="1"/>
  <c r="F74" i="2"/>
  <c r="G74" i="2" s="1"/>
  <c r="H74" i="2" s="1"/>
  <c r="E74" i="2"/>
  <c r="E73" i="2"/>
  <c r="F73" i="2" s="1"/>
  <c r="G73" i="2" s="1"/>
  <c r="H73" i="2" s="1"/>
  <c r="E72" i="2"/>
  <c r="F72" i="2" s="1"/>
  <c r="G72" i="2" s="1"/>
  <c r="H72" i="2" s="1"/>
  <c r="E71" i="2"/>
  <c r="F71" i="2" s="1"/>
  <c r="G71" i="2" s="1"/>
  <c r="H71" i="2" s="1"/>
  <c r="E70" i="2"/>
  <c r="F70" i="2" s="1"/>
  <c r="G70" i="2" s="1"/>
  <c r="H70" i="2" s="1"/>
  <c r="E69" i="2"/>
  <c r="F69" i="2" s="1"/>
  <c r="G69" i="2" s="1"/>
  <c r="H69" i="2" s="1"/>
  <c r="F68" i="2"/>
  <c r="G68" i="2" s="1"/>
  <c r="H68" i="2" s="1"/>
  <c r="E68" i="2"/>
  <c r="E67" i="2"/>
  <c r="F67" i="2" s="1"/>
  <c r="G67" i="2" s="1"/>
  <c r="H67" i="2" s="1"/>
  <c r="F66" i="2"/>
  <c r="G66" i="2" s="1"/>
  <c r="H66" i="2" s="1"/>
  <c r="E66" i="2"/>
  <c r="E65" i="2"/>
  <c r="F65" i="2" s="1"/>
  <c r="G65" i="2" s="1"/>
  <c r="H65" i="2" s="1"/>
  <c r="E64" i="2"/>
  <c r="F64" i="2" s="1"/>
  <c r="G64" i="2" s="1"/>
  <c r="H64" i="2" s="1"/>
  <c r="E63" i="2"/>
  <c r="F63" i="2" s="1"/>
  <c r="G63" i="2" s="1"/>
  <c r="H63" i="2" s="1"/>
  <c r="E62" i="2"/>
  <c r="F62" i="2" s="1"/>
  <c r="G62" i="2" s="1"/>
  <c r="H62" i="2" s="1"/>
  <c r="E61" i="2"/>
  <c r="F61" i="2" s="1"/>
  <c r="G61" i="2" s="1"/>
  <c r="H61" i="2" s="1"/>
  <c r="F60" i="2"/>
  <c r="G60" i="2" s="1"/>
  <c r="H60" i="2" s="1"/>
  <c r="E60" i="2"/>
  <c r="E59" i="2"/>
  <c r="F59" i="2" s="1"/>
  <c r="G59" i="2" s="1"/>
  <c r="H59" i="2" s="1"/>
  <c r="F58" i="2"/>
  <c r="G58" i="2" s="1"/>
  <c r="H58" i="2" s="1"/>
  <c r="E58" i="2"/>
  <c r="E57" i="2"/>
  <c r="F57" i="2" s="1"/>
  <c r="G57" i="2" s="1"/>
  <c r="H57" i="2" s="1"/>
  <c r="E56" i="2"/>
  <c r="F56" i="2" s="1"/>
  <c r="G56" i="2" s="1"/>
  <c r="H56" i="2" s="1"/>
  <c r="E55" i="2"/>
  <c r="F55" i="2" s="1"/>
  <c r="G55" i="2" s="1"/>
  <c r="H55" i="2" s="1"/>
  <c r="E54" i="2"/>
  <c r="F54" i="2" s="1"/>
  <c r="G54" i="2" s="1"/>
  <c r="H54" i="2" s="1"/>
  <c r="E53" i="2"/>
  <c r="F53" i="2" s="1"/>
  <c r="G53" i="2" s="1"/>
  <c r="H53" i="2" s="1"/>
  <c r="F52" i="2"/>
  <c r="G52" i="2" s="1"/>
  <c r="H52" i="2" s="1"/>
  <c r="E52" i="2"/>
  <c r="E51" i="2"/>
  <c r="F51" i="2" s="1"/>
  <c r="G51" i="2" s="1"/>
  <c r="H51" i="2" s="1"/>
  <c r="F50" i="2"/>
  <c r="G50" i="2" s="1"/>
  <c r="H50" i="2" s="1"/>
  <c r="E50" i="2"/>
  <c r="E49" i="2"/>
  <c r="F49" i="2" s="1"/>
  <c r="G49" i="2" s="1"/>
  <c r="H49" i="2" s="1"/>
  <c r="E48" i="2"/>
  <c r="F48" i="2" s="1"/>
  <c r="G48" i="2" s="1"/>
  <c r="H48" i="2" s="1"/>
  <c r="E47" i="2"/>
  <c r="F47" i="2" s="1"/>
  <c r="G47" i="2" s="1"/>
  <c r="H47" i="2" s="1"/>
  <c r="E46" i="2"/>
  <c r="F46" i="2" s="1"/>
  <c r="G46" i="2" s="1"/>
  <c r="H46" i="2" s="1"/>
  <c r="E45" i="2"/>
  <c r="F45" i="2" s="1"/>
  <c r="G45" i="2" s="1"/>
  <c r="H45" i="2" s="1"/>
  <c r="F44" i="2"/>
  <c r="G44" i="2" s="1"/>
  <c r="H44" i="2" s="1"/>
  <c r="E44" i="2"/>
  <c r="E43" i="2"/>
  <c r="F43" i="2" s="1"/>
  <c r="G43" i="2" s="1"/>
  <c r="H43" i="2" s="1"/>
  <c r="F42" i="2"/>
  <c r="G42" i="2" s="1"/>
  <c r="H42" i="2" s="1"/>
  <c r="E42" i="2"/>
  <c r="E41" i="2"/>
  <c r="F41" i="2" s="1"/>
  <c r="G41" i="2" s="1"/>
  <c r="H41" i="2" s="1"/>
  <c r="E40" i="2"/>
  <c r="F40" i="2" s="1"/>
  <c r="G40" i="2" s="1"/>
  <c r="H40" i="2" s="1"/>
  <c r="E39" i="2"/>
  <c r="F39" i="2" s="1"/>
  <c r="G39" i="2" s="1"/>
  <c r="H39" i="2" s="1"/>
  <c r="E38" i="2"/>
  <c r="F38" i="2" s="1"/>
  <c r="G38" i="2" s="1"/>
  <c r="H38" i="2" s="1"/>
  <c r="E37" i="2"/>
  <c r="F37" i="2" s="1"/>
  <c r="G37" i="2" s="1"/>
  <c r="H37" i="2" s="1"/>
  <c r="F36" i="2"/>
  <c r="G36" i="2" s="1"/>
  <c r="H36" i="2" s="1"/>
  <c r="E36" i="2"/>
  <c r="E35" i="2"/>
  <c r="F35" i="2" s="1"/>
  <c r="G35" i="2" s="1"/>
  <c r="H35" i="2" s="1"/>
  <c r="F34" i="2"/>
  <c r="G34" i="2" s="1"/>
  <c r="H34" i="2" s="1"/>
  <c r="E34" i="2"/>
  <c r="E33" i="2"/>
  <c r="F33" i="2" s="1"/>
  <c r="G33" i="2" s="1"/>
  <c r="H33" i="2" s="1"/>
  <c r="E32" i="2"/>
  <c r="F32" i="2" s="1"/>
  <c r="G32" i="2" s="1"/>
  <c r="H32" i="2" s="1"/>
  <c r="E31" i="2"/>
  <c r="F31" i="2" s="1"/>
  <c r="G31" i="2" s="1"/>
  <c r="H31" i="2" s="1"/>
  <c r="E30" i="2"/>
  <c r="F30" i="2" s="1"/>
  <c r="G30" i="2" s="1"/>
  <c r="H30" i="2" s="1"/>
  <c r="E29" i="2"/>
  <c r="F29" i="2" s="1"/>
  <c r="G29" i="2" s="1"/>
  <c r="H29" i="2" s="1"/>
  <c r="F28" i="2"/>
  <c r="G28" i="2" s="1"/>
  <c r="H28" i="2" s="1"/>
  <c r="E28" i="2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3" i="2"/>
  <c r="F23" i="2" s="1"/>
  <c r="G23" i="2" s="1"/>
  <c r="H23" i="2" s="1"/>
  <c r="E22" i="2"/>
  <c r="F22" i="2" s="1"/>
  <c r="G22" i="2" s="1"/>
  <c r="H22" i="2" s="1"/>
  <c r="E21" i="2"/>
  <c r="F21" i="2" s="1"/>
  <c r="G21" i="2" s="1"/>
  <c r="H21" i="2" s="1"/>
  <c r="F20" i="2"/>
  <c r="G20" i="2" s="1"/>
  <c r="H20" i="2" s="1"/>
  <c r="E20" i="2"/>
  <c r="E19" i="2"/>
  <c r="F19" i="2" s="1"/>
  <c r="G19" i="2" s="1"/>
  <c r="H19" i="2" s="1"/>
  <c r="F18" i="2"/>
  <c r="G18" i="2" s="1"/>
  <c r="H18" i="2" s="1"/>
  <c r="E18" i="2"/>
  <c r="E17" i="2"/>
  <c r="F17" i="2" s="1"/>
  <c r="G17" i="2" s="1"/>
  <c r="H17" i="2" s="1"/>
  <c r="E16" i="2"/>
  <c r="F16" i="2" s="1"/>
  <c r="G16" i="2" s="1"/>
  <c r="H16" i="2" s="1"/>
  <c r="E15" i="2"/>
  <c r="F15" i="2" s="1"/>
  <c r="G15" i="2" s="1"/>
  <c r="H15" i="2" s="1"/>
  <c r="E14" i="2"/>
  <c r="F14" i="2" s="1"/>
  <c r="G14" i="2" s="1"/>
  <c r="H14" i="2" s="1"/>
  <c r="E13" i="2"/>
  <c r="F13" i="2" s="1"/>
  <c r="G13" i="2" s="1"/>
  <c r="H13" i="2" s="1"/>
  <c r="F12" i="2"/>
  <c r="G12" i="2" s="1"/>
  <c r="H12" i="2" s="1"/>
  <c r="E12" i="2"/>
  <c r="E11" i="2"/>
  <c r="F11" i="2" s="1"/>
  <c r="G11" i="2" s="1"/>
  <c r="H11" i="2" s="1"/>
  <c r="F10" i="2"/>
  <c r="G10" i="2" s="1"/>
  <c r="H10" i="2" s="1"/>
  <c r="E10" i="2"/>
  <c r="T9" i="2"/>
  <c r="N9" i="2"/>
  <c r="G9" i="2"/>
  <c r="H9" i="2" s="1"/>
  <c r="F9" i="2"/>
  <c r="E9" i="2"/>
  <c r="T8" i="2"/>
  <c r="U8" i="2" s="1"/>
  <c r="N8" i="2"/>
  <c r="E8" i="2"/>
  <c r="F8" i="2" s="1"/>
  <c r="G8" i="2" s="1"/>
  <c r="H8" i="2" s="1"/>
  <c r="T7" i="2"/>
  <c r="U7" i="2" s="1"/>
  <c r="N7" i="2"/>
  <c r="E7" i="2"/>
  <c r="F7" i="2" s="1"/>
  <c r="G7" i="2" s="1"/>
  <c r="H7" i="2" s="1"/>
  <c r="U6" i="2"/>
  <c r="T6" i="2"/>
  <c r="N6" i="2"/>
  <c r="G6" i="2"/>
  <c r="H6" i="2" s="1"/>
  <c r="F6" i="2"/>
  <c r="E6" i="2"/>
  <c r="T5" i="2"/>
  <c r="U5" i="2" s="1"/>
  <c r="N5" i="2"/>
  <c r="F5" i="2"/>
  <c r="G5" i="2" s="1"/>
  <c r="H5" i="2" s="1"/>
  <c r="E5" i="2"/>
  <c r="T4" i="2"/>
  <c r="U4" i="2" s="1"/>
  <c r="N4" i="2"/>
  <c r="F4" i="2"/>
  <c r="G4" i="2" s="1"/>
  <c r="H4" i="2" s="1"/>
  <c r="E4" i="2"/>
  <c r="T3" i="2"/>
  <c r="U3" i="2" s="1"/>
  <c r="N3" i="2"/>
  <c r="E3" i="2"/>
  <c r="F3" i="2" s="1"/>
  <c r="G3" i="2" s="1"/>
  <c r="H3" i="2" s="1"/>
  <c r="U2" i="2"/>
  <c r="T2" i="2"/>
  <c r="N2" i="2"/>
  <c r="E2" i="2"/>
  <c r="F2" i="2" s="1"/>
  <c r="G2" i="2" s="1"/>
  <c r="H2" i="2" s="1"/>
  <c r="Q81" i="1"/>
  <c r="P81" i="1"/>
  <c r="R81" i="1" s="1"/>
  <c r="J81" i="1"/>
  <c r="J80" i="1"/>
  <c r="P80" i="1" s="1"/>
  <c r="J79" i="1"/>
  <c r="P79" i="1" s="1"/>
  <c r="R78" i="1"/>
  <c r="Q78" i="1"/>
  <c r="P78" i="1"/>
  <c r="J78" i="1"/>
  <c r="J77" i="1"/>
  <c r="P77" i="1" s="1"/>
  <c r="J76" i="1"/>
  <c r="P76" i="1" s="1"/>
  <c r="R75" i="1"/>
  <c r="Q75" i="1"/>
  <c r="P75" i="1"/>
  <c r="J75" i="1"/>
  <c r="J74" i="1"/>
  <c r="P74" i="1" s="1"/>
  <c r="Q73" i="1"/>
  <c r="P73" i="1"/>
  <c r="R73" i="1" s="1"/>
  <c r="J73" i="1"/>
  <c r="J72" i="1"/>
  <c r="P72" i="1" s="1"/>
  <c r="J71" i="1"/>
  <c r="P71" i="1" s="1"/>
  <c r="R70" i="1"/>
  <c r="Q70" i="1"/>
  <c r="P70" i="1"/>
  <c r="J70" i="1"/>
  <c r="J69" i="1"/>
  <c r="P69" i="1" s="1"/>
  <c r="J68" i="1"/>
  <c r="P68" i="1" s="1"/>
  <c r="R67" i="1"/>
  <c r="Q67" i="1"/>
  <c r="P67" i="1"/>
  <c r="J67" i="1"/>
  <c r="J66" i="1"/>
  <c r="P66" i="1" s="1"/>
  <c r="Q65" i="1"/>
  <c r="P65" i="1"/>
  <c r="R65" i="1" s="1"/>
  <c r="J65" i="1"/>
  <c r="J64" i="1"/>
  <c r="P64" i="1" s="1"/>
  <c r="J63" i="1"/>
  <c r="P63" i="1" s="1"/>
  <c r="R62" i="1"/>
  <c r="Q62" i="1"/>
  <c r="P62" i="1"/>
  <c r="J62" i="1"/>
  <c r="J61" i="1"/>
  <c r="P61" i="1" s="1"/>
  <c r="J60" i="1"/>
  <c r="P60" i="1" s="1"/>
  <c r="R59" i="1"/>
  <c r="Q59" i="1"/>
  <c r="P59" i="1"/>
  <c r="J59" i="1"/>
  <c r="J58" i="1"/>
  <c r="P58" i="1" s="1"/>
  <c r="Q57" i="1"/>
  <c r="P57" i="1"/>
  <c r="R57" i="1" s="1"/>
  <c r="J57" i="1"/>
  <c r="J56" i="1"/>
  <c r="P56" i="1" s="1"/>
  <c r="J55" i="1"/>
  <c r="P55" i="1" s="1"/>
  <c r="R54" i="1"/>
  <c r="Q54" i="1"/>
  <c r="P54" i="1"/>
  <c r="J54" i="1"/>
  <c r="J53" i="1"/>
  <c r="P53" i="1" s="1"/>
  <c r="J52" i="1"/>
  <c r="P52" i="1" s="1"/>
  <c r="R51" i="1"/>
  <c r="Q51" i="1"/>
  <c r="P51" i="1"/>
  <c r="J51" i="1"/>
  <c r="J50" i="1"/>
  <c r="P50" i="1" s="1"/>
  <c r="Q49" i="1"/>
  <c r="P49" i="1"/>
  <c r="R49" i="1" s="1"/>
  <c r="J49" i="1"/>
  <c r="J48" i="1"/>
  <c r="P48" i="1" s="1"/>
  <c r="J47" i="1"/>
  <c r="P47" i="1" s="1"/>
  <c r="R46" i="1"/>
  <c r="Q46" i="1"/>
  <c r="P46" i="1"/>
  <c r="J46" i="1"/>
  <c r="J45" i="1"/>
  <c r="P45" i="1" s="1"/>
  <c r="J44" i="1"/>
  <c r="P44" i="1" s="1"/>
  <c r="R43" i="1"/>
  <c r="Q43" i="1"/>
  <c r="P43" i="1"/>
  <c r="J43" i="1"/>
  <c r="J42" i="1"/>
  <c r="P42" i="1" s="1"/>
  <c r="Q41" i="1"/>
  <c r="P41" i="1"/>
  <c r="R41" i="1" s="1"/>
  <c r="J41" i="1"/>
  <c r="J40" i="1"/>
  <c r="P40" i="1" s="1"/>
  <c r="J39" i="1"/>
  <c r="P39" i="1" s="1"/>
  <c r="R38" i="1"/>
  <c r="Q38" i="1"/>
  <c r="P38" i="1"/>
  <c r="J38" i="1"/>
  <c r="J37" i="1"/>
  <c r="P37" i="1" s="1"/>
  <c r="J36" i="1"/>
  <c r="P36" i="1" s="1"/>
  <c r="R35" i="1"/>
  <c r="Q35" i="1"/>
  <c r="P35" i="1"/>
  <c r="J35" i="1"/>
  <c r="J34" i="1"/>
  <c r="P34" i="1" s="1"/>
  <c r="Q33" i="1"/>
  <c r="P33" i="1"/>
  <c r="R33" i="1" s="1"/>
  <c r="J33" i="1"/>
  <c r="J32" i="1"/>
  <c r="P32" i="1" s="1"/>
  <c r="J31" i="1"/>
  <c r="P31" i="1" s="1"/>
  <c r="R30" i="1"/>
  <c r="Q30" i="1"/>
  <c r="P30" i="1"/>
  <c r="J30" i="1"/>
  <c r="J29" i="1"/>
  <c r="P29" i="1" s="1"/>
  <c r="J28" i="1"/>
  <c r="P28" i="1" s="1"/>
  <c r="R27" i="1"/>
  <c r="Q27" i="1"/>
  <c r="P27" i="1"/>
  <c r="J27" i="1"/>
  <c r="J26" i="1"/>
  <c r="P26" i="1" s="1"/>
  <c r="Q25" i="1"/>
  <c r="P25" i="1"/>
  <c r="R25" i="1" s="1"/>
  <c r="J25" i="1"/>
  <c r="J24" i="1"/>
  <c r="P24" i="1" s="1"/>
  <c r="J23" i="1"/>
  <c r="P23" i="1" s="1"/>
  <c r="J22" i="1"/>
  <c r="J21" i="1"/>
  <c r="P21" i="1" s="1"/>
  <c r="J20" i="1"/>
  <c r="R19" i="1"/>
  <c r="Q19" i="1"/>
  <c r="P19" i="1"/>
  <c r="J19" i="1"/>
  <c r="J18" i="1"/>
  <c r="P18" i="1" s="1"/>
  <c r="Q17" i="1"/>
  <c r="P17" i="1"/>
  <c r="R17" i="1" s="1"/>
  <c r="J17" i="1"/>
  <c r="J16" i="1"/>
  <c r="P16" i="1" s="1"/>
  <c r="J15" i="1"/>
  <c r="P15" i="1" s="1"/>
  <c r="R14" i="1"/>
  <c r="Q14" i="1"/>
  <c r="P14" i="1"/>
  <c r="J14" i="1"/>
  <c r="J13" i="1"/>
  <c r="P13" i="1" s="1"/>
  <c r="J12" i="1"/>
  <c r="P12" i="1" s="1"/>
  <c r="R11" i="1"/>
  <c r="Q11" i="1"/>
  <c r="P11" i="1"/>
  <c r="J11" i="1"/>
  <c r="J10" i="1"/>
  <c r="P10" i="1" s="1"/>
  <c r="Q9" i="1"/>
  <c r="P9" i="1"/>
  <c r="R9" i="1" s="1"/>
  <c r="J9" i="1"/>
  <c r="J8" i="1"/>
  <c r="P8" i="1" s="1"/>
  <c r="J7" i="1"/>
  <c r="P7" i="1" s="1"/>
  <c r="R6" i="1"/>
  <c r="Q6" i="1"/>
  <c r="P6" i="1"/>
  <c r="J6" i="1"/>
  <c r="J5" i="1"/>
  <c r="P5" i="1" s="1"/>
  <c r="J4" i="1"/>
  <c r="P4" i="1" s="1"/>
  <c r="R3" i="1"/>
  <c r="Q3" i="1"/>
  <c r="P3" i="1"/>
  <c r="J3" i="1"/>
  <c r="J2" i="1"/>
  <c r="P2" i="1" s="1"/>
  <c r="O67" i="3" l="1"/>
  <c r="O36" i="3"/>
  <c r="O60" i="3"/>
  <c r="O29" i="3"/>
  <c r="O22" i="3"/>
  <c r="O54" i="3"/>
  <c r="O68" i="3"/>
  <c r="O30" i="3"/>
  <c r="O16" i="3"/>
  <c r="O24" i="3"/>
  <c r="O48" i="3"/>
  <c r="O79" i="3"/>
  <c r="O80" i="3"/>
  <c r="O61" i="3"/>
  <c r="O55" i="3"/>
  <c r="O10" i="3"/>
  <c r="O62" i="3"/>
  <c r="O31" i="3"/>
  <c r="O56" i="3"/>
  <c r="O64" i="3"/>
  <c r="O18" i="3"/>
  <c r="O50" i="3"/>
  <c r="O66" i="3"/>
  <c r="O35" i="3"/>
  <c r="O23" i="3"/>
  <c r="O32" i="3"/>
  <c r="O63" i="3"/>
  <c r="O49" i="3"/>
  <c r="O26" i="3"/>
  <c r="R42" i="1"/>
  <c r="Q42" i="1"/>
  <c r="Q60" i="1"/>
  <c r="R60" i="1"/>
  <c r="R13" i="1"/>
  <c r="Q13" i="1"/>
  <c r="Q44" i="1"/>
  <c r="R44" i="1"/>
  <c r="R74" i="1"/>
  <c r="Q74" i="1"/>
  <c r="R76" i="1"/>
  <c r="Q76" i="1"/>
  <c r="R45" i="1"/>
  <c r="Q45" i="1"/>
  <c r="Q47" i="1"/>
  <c r="R47" i="1"/>
  <c r="R26" i="1"/>
  <c r="Q26" i="1"/>
  <c r="R34" i="1"/>
  <c r="Q34" i="1"/>
  <c r="R58" i="1"/>
  <c r="Q58" i="1"/>
  <c r="Q12" i="1"/>
  <c r="R12" i="1"/>
  <c r="R29" i="1"/>
  <c r="Q29" i="1"/>
  <c r="Q63" i="1"/>
  <c r="R63" i="1"/>
  <c r="R61" i="1"/>
  <c r="Q61" i="1"/>
  <c r="Q64" i="1"/>
  <c r="R64" i="1"/>
  <c r="Q15" i="1"/>
  <c r="R15" i="1"/>
  <c r="R10" i="1"/>
  <c r="Q10" i="1"/>
  <c r="R53" i="1"/>
  <c r="Q53" i="1"/>
  <c r="R77" i="1"/>
  <c r="Q77" i="1"/>
  <c r="R48" i="1"/>
  <c r="Q48" i="1"/>
  <c r="R50" i="1"/>
  <c r="Q50" i="1"/>
  <c r="Q16" i="1"/>
  <c r="R16" i="1"/>
  <c r="Q36" i="1"/>
  <c r="R36" i="1"/>
  <c r="Q32" i="1"/>
  <c r="R32" i="1"/>
  <c r="R66" i="1"/>
  <c r="Q66" i="1"/>
  <c r="Q52" i="1"/>
  <c r="R52" i="1"/>
  <c r="R69" i="1"/>
  <c r="Q69" i="1"/>
  <c r="Q28" i="1"/>
  <c r="R28" i="1"/>
  <c r="Q79" i="1"/>
  <c r="R79" i="1"/>
  <c r="R37" i="1"/>
  <c r="Q37" i="1"/>
  <c r="Q55" i="1"/>
  <c r="R55" i="1"/>
  <c r="R21" i="1"/>
  <c r="Q21" i="1"/>
  <c r="Q23" i="1"/>
  <c r="R23" i="1"/>
  <c r="R2" i="1"/>
  <c r="Q2" i="1"/>
  <c r="Q4" i="1"/>
  <c r="R4" i="1"/>
  <c r="Q68" i="1"/>
  <c r="R68" i="1"/>
  <c r="Q39" i="1"/>
  <c r="R39" i="1"/>
  <c r="Q71" i="1"/>
  <c r="R71" i="1"/>
  <c r="Q40" i="1"/>
  <c r="R40" i="1"/>
  <c r="Q31" i="1"/>
  <c r="R31" i="1"/>
  <c r="R7" i="1"/>
  <c r="Q7" i="1"/>
  <c r="Q24" i="1"/>
  <c r="R24" i="1"/>
  <c r="R72" i="1"/>
  <c r="Q72" i="1"/>
  <c r="Q80" i="1"/>
  <c r="R80" i="1"/>
  <c r="R18" i="1"/>
  <c r="Q18" i="1"/>
  <c r="R5" i="1"/>
  <c r="Q5" i="1"/>
  <c r="Q8" i="1"/>
  <c r="R8" i="1"/>
  <c r="Q56" i="1"/>
  <c r="R56" i="1"/>
  <c r="O43" i="3"/>
</calcChain>
</file>

<file path=xl/sharedStrings.xml><?xml version="1.0" encoding="utf-8"?>
<sst xmlns="http://schemas.openxmlformats.org/spreadsheetml/2006/main" count="549" uniqueCount="162">
  <si>
    <t>Sample_ID</t>
  </si>
  <si>
    <t>Coral</t>
  </si>
  <si>
    <t>Sample ID</t>
  </si>
  <si>
    <t>Absorbance_1</t>
  </si>
  <si>
    <t>coral number</t>
  </si>
  <si>
    <t>homogenate (ml)</t>
  </si>
  <si>
    <t>surface area cm^2</t>
  </si>
  <si>
    <t>Protein conc. (ug.ml)</t>
  </si>
  <si>
    <t>Pathlength Correction Chl a (ug.ml)</t>
  </si>
  <si>
    <t>Absorbance_2</t>
  </si>
  <si>
    <t>Absorbance_3</t>
  </si>
  <si>
    <t>tube number</t>
  </si>
  <si>
    <t>Average 595 nm</t>
  </si>
  <si>
    <t>Location</t>
  </si>
  <si>
    <t>cell/ml</t>
  </si>
  <si>
    <t>Field_1</t>
  </si>
  <si>
    <t>Average-Bk</t>
  </si>
  <si>
    <t>cell/cm</t>
  </si>
  <si>
    <t>chl/cell</t>
  </si>
  <si>
    <t>MF10</t>
  </si>
  <si>
    <t>Field_2</t>
  </si>
  <si>
    <t>Unknown Concentration (formula) ug/ml sin F dilución</t>
  </si>
  <si>
    <t>Field_3</t>
  </si>
  <si>
    <t>Field_4</t>
  </si>
  <si>
    <t>Field_5</t>
  </si>
  <si>
    <t>Fields_Average</t>
  </si>
  <si>
    <t>Unknown Concentration (formula) ug/mL con F dilución</t>
  </si>
  <si>
    <t>Surface_area</t>
  </si>
  <si>
    <t>630 nm1</t>
  </si>
  <si>
    <t>Protein stansard (ug/ml)</t>
  </si>
  <si>
    <t>630 nm2</t>
  </si>
  <si>
    <t>630 nm Av</t>
  </si>
  <si>
    <t>647 nm1</t>
  </si>
  <si>
    <t>647 nm2</t>
  </si>
  <si>
    <t>647 nm Av</t>
  </si>
  <si>
    <t>664 nm1</t>
  </si>
  <si>
    <t>664 nm2</t>
  </si>
  <si>
    <t>664 nm Av</t>
  </si>
  <si>
    <t>691 nm1</t>
  </si>
  <si>
    <t>691 nm2</t>
  </si>
  <si>
    <t>691 nm Av</t>
  </si>
  <si>
    <t>Raw_Ch (ug/mL)</t>
  </si>
  <si>
    <t>Volume of standard BSA (uL)</t>
  </si>
  <si>
    <t>Pathlength_Correction_Ch (ug/mL)</t>
  </si>
  <si>
    <t>Start_vol(mL)</t>
  </si>
  <si>
    <t>Homogenate (mL)</t>
  </si>
  <si>
    <t>Ritchie (2008): Chl–a= –0.3319(A630) – 1.7485(A647) + 11.9442(A664) – 1.4306(A691)</t>
  </si>
  <si>
    <t>Resuspend_vol (mL)</t>
  </si>
  <si>
    <t>Volume of FSW</t>
  </si>
  <si>
    <t>Counted_vol (mL)</t>
  </si>
  <si>
    <t>Volume of standard dilution for measurement (uL)</t>
  </si>
  <si>
    <t>Cells/mL</t>
  </si>
  <si>
    <t>Volumen of Bradford reagent (uL)</t>
  </si>
  <si>
    <t>Cells/cm</t>
  </si>
  <si>
    <t>Cells (2mL/surface)</t>
  </si>
  <si>
    <t>Observations</t>
  </si>
  <si>
    <t>POC_1</t>
  </si>
  <si>
    <t>Average absorbance (595 nm)</t>
  </si>
  <si>
    <t>END</t>
  </si>
  <si>
    <t>Samara</t>
  </si>
  <si>
    <t>Absorbance-Bk (595 nm)</t>
  </si>
  <si>
    <t>BK</t>
  </si>
  <si>
    <t>MF40</t>
  </si>
  <si>
    <t>CC10</t>
  </si>
  <si>
    <t>T0</t>
  </si>
  <si>
    <t>CC40</t>
  </si>
  <si>
    <t>POC_2</t>
  </si>
  <si>
    <t>POC_3</t>
  </si>
  <si>
    <t>*Note: Make 3 replicates per wavelenght if possible… with the amount of sample we have right now, Tali recomends taking one measurement per wavelength per sample.</t>
  </si>
  <si>
    <t>POC_4</t>
  </si>
  <si>
    <t>POC_5</t>
  </si>
  <si>
    <t>*Note: One blank per site, one for Samara and one for Papagayo</t>
  </si>
  <si>
    <t>POC_6</t>
  </si>
  <si>
    <t>POC_7</t>
  </si>
  <si>
    <t>POC_8</t>
  </si>
  <si>
    <t>POC_9</t>
  </si>
  <si>
    <t>POC_10</t>
  </si>
  <si>
    <t>I couldn't find endosymbionts in this sample, the obtained pellet was scarce and almost disappeared after the cycles of centrifugation and washing</t>
  </si>
  <si>
    <t>POR_11</t>
  </si>
  <si>
    <t>Plate 2</t>
  </si>
  <si>
    <t>plate 3</t>
  </si>
  <si>
    <t>A</t>
  </si>
  <si>
    <t>Aceton</t>
  </si>
  <si>
    <t>POR_12</t>
  </si>
  <si>
    <t>CC-10 -8</t>
  </si>
  <si>
    <t>CC-40 -6</t>
  </si>
  <si>
    <t>MF-10-8</t>
  </si>
  <si>
    <t>MF-40-1</t>
  </si>
  <si>
    <t>B</t>
  </si>
  <si>
    <t>CC-10 -1</t>
  </si>
  <si>
    <t>CC-10 -9</t>
  </si>
  <si>
    <t>CC-40 -7</t>
  </si>
  <si>
    <t>MF-10-1</t>
  </si>
  <si>
    <t>MF-40-2</t>
  </si>
  <si>
    <t>C</t>
  </si>
  <si>
    <t>CC-10 -2</t>
  </si>
  <si>
    <t>POR_13</t>
  </si>
  <si>
    <t>CC-10 -10</t>
  </si>
  <si>
    <t>CC-40 -8</t>
  </si>
  <si>
    <t>MF-10-2</t>
  </si>
  <si>
    <t>MF-10-9</t>
  </si>
  <si>
    <t>MF-40-3</t>
  </si>
  <si>
    <t>D</t>
  </si>
  <si>
    <t>CC-10 -3</t>
  </si>
  <si>
    <t>CC-40 -1</t>
  </si>
  <si>
    <t>CC-40 -9</t>
  </si>
  <si>
    <t>MF-10-3</t>
  </si>
  <si>
    <t>MF-10-10</t>
  </si>
  <si>
    <t>MF-40-4</t>
  </si>
  <si>
    <t>E</t>
  </si>
  <si>
    <t>CC-10 -4</t>
  </si>
  <si>
    <t>CC-40 -2</t>
  </si>
  <si>
    <t>CC-40 -10</t>
  </si>
  <si>
    <t>MF-10-4</t>
  </si>
  <si>
    <t>MF-40-5</t>
  </si>
  <si>
    <t>F</t>
  </si>
  <si>
    <t>CC-10 -5</t>
  </si>
  <si>
    <t>CC-40 -3</t>
  </si>
  <si>
    <t>MF-10-5</t>
  </si>
  <si>
    <t>MF-40-6</t>
  </si>
  <si>
    <t>G</t>
  </si>
  <si>
    <t>CC-10 -6</t>
  </si>
  <si>
    <t>CC-40 -4</t>
  </si>
  <si>
    <t>MF-10-6</t>
  </si>
  <si>
    <t>MF-40-7</t>
  </si>
  <si>
    <t>H</t>
  </si>
  <si>
    <t>CC-10 -7</t>
  </si>
  <si>
    <t>CC-40 -5</t>
  </si>
  <si>
    <t>MF-10-7</t>
  </si>
  <si>
    <t>POR_14</t>
  </si>
  <si>
    <t>POR_15</t>
  </si>
  <si>
    <t>POR_16</t>
  </si>
  <si>
    <t>POR_17</t>
  </si>
  <si>
    <t>POR_18</t>
  </si>
  <si>
    <t>POR_19</t>
  </si>
  <si>
    <t>POR_20</t>
  </si>
  <si>
    <t>POC_21</t>
  </si>
  <si>
    <t>Papagayo</t>
  </si>
  <si>
    <t>POC_22</t>
  </si>
  <si>
    <t>POC_23</t>
  </si>
  <si>
    <t>POC_24</t>
  </si>
  <si>
    <t>POC_25</t>
  </si>
  <si>
    <t>POC_26</t>
  </si>
  <si>
    <t>POC_27</t>
  </si>
  <si>
    <t>POC_28</t>
  </si>
  <si>
    <t>POC_29</t>
  </si>
  <si>
    <t>POC_30</t>
  </si>
  <si>
    <t>POR_31</t>
  </si>
  <si>
    <t>POR_32</t>
  </si>
  <si>
    <t>POR_33</t>
  </si>
  <si>
    <t>POR_34</t>
  </si>
  <si>
    <t>POR_35</t>
  </si>
  <si>
    <t>POR_36</t>
  </si>
  <si>
    <t>POR_37</t>
  </si>
  <si>
    <t>POR_38</t>
  </si>
  <si>
    <t>POR_39</t>
  </si>
  <si>
    <t>POR_40</t>
  </si>
  <si>
    <t>SampleID</t>
  </si>
  <si>
    <t>raw Chl a ug.mg</t>
  </si>
  <si>
    <t>blank</t>
  </si>
  <si>
    <t>NA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</si>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</sst>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5" x14ac:knownFonts="1">
    <font>
      <sz val="12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  <scheme val="minor"/>
    </font>
    <font>
      <b/>
      <sz val="10"/>
      <color theme="1"/>
      <name val="Arial"/>
    </font>
    <font>
      <sz val="12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u/>
      <sz val="12"/>
      <color theme="10"/>
      <name val="Calibri"/>
    </font>
    <font>
      <sz val="12"/>
      <color theme="1"/>
      <name val="Arial"/>
    </font>
    <font>
      <sz val="11"/>
      <color theme="1"/>
      <name val="Calibri"/>
    </font>
    <font>
      <sz val="10"/>
      <color rgb="FF27413E"/>
      <name val="Arial"/>
    </font>
    <font>
      <sz val="10"/>
      <color rgb="FF000000"/>
      <name val="Arial"/>
    </font>
    <font>
      <sz val="7"/>
      <color rgb="FF000000"/>
      <name val="Arial"/>
    </font>
    <font>
      <sz val="12"/>
      <name val="Calibri"/>
    </font>
    <font>
      <sz val="11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AD7EF"/>
        <bgColor rgb="FFBAD7EF"/>
      </patternFill>
    </fill>
    <fill>
      <patternFill patternType="solid">
        <fgColor rgb="FFC9E0F4"/>
        <bgColor rgb="FFC9E0F4"/>
      </patternFill>
    </fill>
    <fill>
      <patternFill patternType="solid">
        <fgColor rgb="FF247CBD"/>
        <bgColor rgb="FF247CBD"/>
      </patternFill>
    </fill>
    <fill>
      <patternFill patternType="solid">
        <fgColor rgb="FF5197CC"/>
        <bgColor rgb="FF5197CC"/>
      </patternFill>
    </fill>
    <fill>
      <patternFill patternType="solid">
        <fgColor rgb="FF8DBCE0"/>
        <bgColor rgb="FF8DBCE0"/>
      </patternFill>
    </fill>
    <fill>
      <patternFill patternType="solid">
        <fgColor rgb="FF7EB2DB"/>
        <bgColor rgb="FF7EB2DB"/>
      </patternFill>
    </fill>
    <fill>
      <patternFill patternType="solid">
        <fgColor rgb="FFE8F3FF"/>
        <bgColor rgb="FFE8F3FF"/>
      </patternFill>
    </fill>
    <fill>
      <patternFill patternType="solid">
        <fgColor rgb="FF6FA9D6"/>
        <bgColor rgb="FF6FA9D6"/>
      </patternFill>
    </fill>
    <fill>
      <patternFill patternType="solid">
        <fgColor rgb="FF60A0D1"/>
        <bgColor rgb="FF60A0D1"/>
      </patternFill>
    </fill>
    <fill>
      <patternFill patternType="solid">
        <fgColor rgb="FF9CC5E5"/>
        <bgColor rgb="FF9CC5E5"/>
      </patternFill>
    </fill>
    <fill>
      <patternFill patternType="solid">
        <fgColor rgb="FF3385C2"/>
        <bgColor rgb="FF3385C2"/>
      </patternFill>
    </fill>
    <fill>
      <patternFill patternType="solid">
        <fgColor rgb="FF428EC7"/>
        <bgColor rgb="FF428EC7"/>
      </patternFill>
    </fill>
    <fill>
      <patternFill patternType="solid">
        <fgColor rgb="FFABCEEA"/>
        <bgColor rgb="FFABCEEA"/>
      </patternFill>
    </fill>
    <fill>
      <patternFill patternType="solid">
        <fgColor rgb="FFD8E9F9"/>
        <bgColor rgb="FFD8E9F9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164" fontId="1" fillId="2" borderId="1" xfId="0" applyNumberFormat="1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top" wrapText="1"/>
    </xf>
    <xf numFmtId="1" fontId="4" fillId="0" borderId="0" xfId="0" applyNumberFormat="1" applyFont="1"/>
    <xf numFmtId="0" fontId="1" fillId="0" borderId="0" xfId="0" applyFont="1"/>
    <xf numFmtId="0" fontId="1" fillId="2" borderId="4" xfId="0" applyFont="1" applyFill="1" applyBorder="1" applyAlignment="1">
      <alignment horizontal="center" vertical="top" wrapText="1"/>
    </xf>
    <xf numFmtId="164" fontId="2" fillId="0" borderId="0" xfId="0" applyNumberFormat="1" applyFont="1"/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5" fillId="0" borderId="0" xfId="0" applyFont="1"/>
    <xf numFmtId="0" fontId="4" fillId="0" borderId="7" xfId="0" applyFont="1" applyBorder="1"/>
    <xf numFmtId="0" fontId="1" fillId="2" borderId="6" xfId="0" applyFont="1" applyFill="1" applyBorder="1" applyAlignment="1">
      <alignment vertical="top" wrapText="1"/>
    </xf>
    <xf numFmtId="0" fontId="6" fillId="0" borderId="0" xfId="0" applyFont="1" applyAlignment="1">
      <alignment horizontal="right"/>
    </xf>
    <xf numFmtId="0" fontId="1" fillId="2" borderId="8" xfId="0" applyFont="1" applyFill="1" applyBorder="1" applyAlignment="1">
      <alignment vertical="top" wrapText="1"/>
    </xf>
    <xf numFmtId="0" fontId="1" fillId="0" borderId="3" xfId="0" applyFont="1" applyBorder="1" applyAlignment="1">
      <alignment horizontal="right"/>
    </xf>
    <xf numFmtId="0" fontId="7" fillId="0" borderId="0" xfId="0" applyFont="1"/>
    <xf numFmtId="164" fontId="1" fillId="0" borderId="3" xfId="0" applyNumberFormat="1" applyFont="1" applyBorder="1" applyAlignment="1">
      <alignment horizontal="right"/>
    </xf>
    <xf numFmtId="166" fontId="2" fillId="0" borderId="0" xfId="0" applyNumberFormat="1" applyFont="1"/>
    <xf numFmtId="164" fontId="4" fillId="0" borderId="9" xfId="0" applyNumberFormat="1" applyFont="1" applyBorder="1"/>
    <xf numFmtId="164" fontId="4" fillId="0" borderId="10" xfId="0" applyNumberFormat="1" applyFont="1" applyBorder="1"/>
    <xf numFmtId="0" fontId="4" fillId="3" borderId="11" xfId="0" applyFont="1" applyFill="1" applyBorder="1"/>
    <xf numFmtId="165" fontId="1" fillId="0" borderId="3" xfId="0" applyNumberFormat="1" applyFont="1" applyBorder="1" applyAlignment="1">
      <alignment horizontal="right"/>
    </xf>
    <xf numFmtId="166" fontId="4" fillId="3" borderId="11" xfId="0" applyNumberFormat="1" applyFont="1" applyFill="1" applyBorder="1"/>
    <xf numFmtId="164" fontId="4" fillId="3" borderId="11" xfId="0" applyNumberFormat="1" applyFont="1" applyFill="1" applyBorder="1"/>
    <xf numFmtId="0" fontId="1" fillId="4" borderId="3" xfId="0" applyFont="1" applyFill="1" applyBorder="1" applyAlignment="1">
      <alignment horizontal="center" wrapText="1"/>
    </xf>
    <xf numFmtId="164" fontId="4" fillId="3" borderId="10" xfId="0" applyNumberFormat="1" applyFont="1" applyFill="1" applyBorder="1"/>
    <xf numFmtId="0" fontId="1" fillId="4" borderId="12" xfId="0" applyFont="1" applyFill="1" applyBorder="1" applyAlignment="1">
      <alignment horizontal="center" wrapText="1"/>
    </xf>
    <xf numFmtId="0" fontId="4" fillId="0" borderId="0" xfId="0" applyFont="1"/>
    <xf numFmtId="164" fontId="1" fillId="4" borderId="13" xfId="0" applyNumberFormat="1" applyFont="1" applyFill="1" applyBorder="1" applyAlignment="1">
      <alignment horizontal="center" wrapText="1"/>
    </xf>
    <xf numFmtId="164" fontId="1" fillId="0" borderId="12" xfId="0" applyNumberFormat="1" applyFont="1" applyBorder="1" applyAlignment="1">
      <alignment horizontal="center"/>
    </xf>
    <xf numFmtId="0" fontId="6" fillId="0" borderId="0" xfId="0" applyFont="1"/>
    <xf numFmtId="0" fontId="4" fillId="3" borderId="11" xfId="0" applyFont="1" applyFill="1" applyBorder="1" applyAlignment="1">
      <alignment horizontal="right"/>
    </xf>
    <xf numFmtId="166" fontId="4" fillId="3" borderId="11" xfId="0" applyNumberFormat="1" applyFont="1" applyFill="1" applyBorder="1" applyAlignment="1">
      <alignment horizontal="right"/>
    </xf>
    <xf numFmtId="164" fontId="4" fillId="3" borderId="11" xfId="0" applyNumberFormat="1" applyFont="1" applyFill="1" applyBorder="1" applyAlignment="1">
      <alignment horizontal="right"/>
    </xf>
    <xf numFmtId="164" fontId="4" fillId="3" borderId="10" xfId="0" applyNumberFormat="1" applyFont="1" applyFill="1" applyBorder="1" applyAlignment="1">
      <alignment horizontal="right"/>
    </xf>
    <xf numFmtId="0" fontId="8" fillId="0" borderId="0" xfId="0" applyFont="1"/>
    <xf numFmtId="0" fontId="4" fillId="0" borderId="11" xfId="0" applyFont="1" applyBorder="1" applyAlignment="1">
      <alignment horizontal="right"/>
    </xf>
    <xf numFmtId="0" fontId="4" fillId="0" borderId="11" xfId="0" applyFont="1" applyBorder="1"/>
    <xf numFmtId="0" fontId="9" fillId="0" borderId="0" xfId="0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3" borderId="14" xfId="0" applyNumberFormat="1" applyFont="1" applyFill="1" applyBorder="1" applyAlignment="1">
      <alignment horizontal="right"/>
    </xf>
    <xf numFmtId="0" fontId="1" fillId="0" borderId="3" xfId="0" applyFont="1" applyBorder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4" fillId="5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10" borderId="16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11" fillId="11" borderId="18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horizontal="center" vertical="center" wrapText="1"/>
    </xf>
    <xf numFmtId="0" fontId="11" fillId="15" borderId="18" xfId="0" applyFont="1" applyFill="1" applyBorder="1" applyAlignment="1">
      <alignment horizontal="center" vertical="center" wrapText="1"/>
    </xf>
    <xf numFmtId="166" fontId="4" fillId="0" borderId="11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0" fontId="11" fillId="16" borderId="18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11" fillId="14" borderId="20" xfId="0" applyFont="1" applyFill="1" applyBorder="1" applyAlignment="1">
      <alignment horizontal="center" vertical="center" wrapText="1"/>
    </xf>
    <xf numFmtId="0" fontId="11" fillId="14" borderId="16" xfId="0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horizontal="center" vertical="center" wrapText="1"/>
    </xf>
    <xf numFmtId="0" fontId="11" fillId="16" borderId="16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11" fillId="15" borderId="16" xfId="0" applyFont="1" applyFill="1" applyBorder="1" applyAlignment="1">
      <alignment horizontal="center" vertical="center" wrapText="1"/>
    </xf>
    <xf numFmtId="0" fontId="11" fillId="17" borderId="18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center" vertical="center" wrapText="1"/>
    </xf>
    <xf numFmtId="0" fontId="11" fillId="15" borderId="20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17" borderId="20" xfId="0" applyFont="1" applyFill="1" applyBorder="1" applyAlignment="1">
      <alignment horizontal="center" vertical="center" wrapText="1"/>
    </xf>
    <xf numFmtId="0" fontId="11" fillId="18" borderId="16" xfId="0" applyFont="1" applyFill="1" applyBorder="1" applyAlignment="1">
      <alignment horizontal="center" vertical="center" wrapText="1"/>
    </xf>
    <xf numFmtId="0" fontId="11" fillId="18" borderId="18" xfId="0" applyFont="1" applyFill="1" applyBorder="1" applyAlignment="1">
      <alignment horizontal="center" vertical="center" wrapText="1"/>
    </xf>
    <xf numFmtId="0" fontId="11" fillId="19" borderId="18" xfId="0" applyFont="1" applyFill="1" applyBorder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0" fontId="11" fillId="7" borderId="20" xfId="0" applyFont="1" applyFill="1" applyBorder="1" applyAlignment="1">
      <alignment horizontal="center" vertical="center" wrapText="1"/>
    </xf>
    <xf numFmtId="0" fontId="11" fillId="19" borderId="20" xfId="0" applyFont="1" applyFill="1" applyBorder="1" applyAlignment="1">
      <alignment horizontal="center" vertical="center" wrapText="1"/>
    </xf>
    <xf numFmtId="0" fontId="11" fillId="18" borderId="20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11" fillId="19" borderId="16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4" fillId="20" borderId="21" xfId="0" applyFont="1" applyFill="1" applyBorder="1"/>
    <xf numFmtId="0" fontId="10" fillId="2" borderId="15" xfId="0" applyFont="1" applyFill="1" applyBorder="1" applyAlignment="1">
      <alignment horizontal="center" vertical="center" wrapText="1"/>
    </xf>
    <xf numFmtId="0" fontId="13" fillId="0" borderId="17" xfId="0" applyFont="1" applyBorder="1"/>
    <xf numFmtId="0" fontId="13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11099-008-0019-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11099-008-0019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2" topLeftCell="C1" activePane="topRight" state="frozen"/>
      <selection pane="topRight" activeCell="C1" sqref="C1"/>
    </sheetView>
  </sheetViews>
  <sheetFormatPr defaultColWidth="11.25" defaultRowHeight="15" customHeight="1" x14ac:dyDescent="0.35"/>
  <cols>
    <col min="1" max="9" width="10.58203125" customWidth="1"/>
    <col min="10" max="10" width="13.08203125" customWidth="1"/>
    <col min="11" max="11" width="10.58203125" customWidth="1"/>
    <col min="12" max="12" width="11.6640625" customWidth="1"/>
    <col min="13" max="13" width="15.33203125" customWidth="1"/>
    <col min="14" max="15" width="17.33203125" customWidth="1"/>
    <col min="16" max="16" width="16.75" customWidth="1"/>
    <col min="17" max="17" width="10.58203125" customWidth="1"/>
    <col min="18" max="18" width="16.83203125" bestFit="1" customWidth="1"/>
    <col min="19" max="26" width="10.58203125" customWidth="1"/>
  </cols>
  <sheetData>
    <row r="1" spans="1:26" ht="15.75" customHeight="1" x14ac:dyDescent="0.35">
      <c r="A1" s="2" t="s">
        <v>0</v>
      </c>
      <c r="B1" s="2" t="s">
        <v>11</v>
      </c>
      <c r="C1" s="2" t="s">
        <v>161</v>
      </c>
      <c r="D1" s="2" t="s">
        <v>13</v>
      </c>
      <c r="E1" s="2" t="s">
        <v>15</v>
      </c>
      <c r="F1" s="2" t="s">
        <v>20</v>
      </c>
      <c r="G1" s="2" t="s">
        <v>22</v>
      </c>
      <c r="H1" s="2" t="s">
        <v>23</v>
      </c>
      <c r="I1" s="2" t="s">
        <v>24</v>
      </c>
      <c r="J1" s="2" t="s">
        <v>25</v>
      </c>
      <c r="K1" s="9" t="s">
        <v>27</v>
      </c>
      <c r="L1" s="2" t="s">
        <v>44</v>
      </c>
      <c r="M1" s="2" t="s">
        <v>45</v>
      </c>
      <c r="N1" s="2" t="s">
        <v>47</v>
      </c>
      <c r="O1" s="2" t="s">
        <v>49</v>
      </c>
      <c r="P1" s="2" t="s">
        <v>51</v>
      </c>
      <c r="Q1" s="2" t="s">
        <v>53</v>
      </c>
      <c r="R1" s="2" t="s">
        <v>54</v>
      </c>
      <c r="S1" s="2" t="s">
        <v>55</v>
      </c>
    </row>
    <row r="2" spans="1:26" ht="15.75" customHeight="1" x14ac:dyDescent="0.35">
      <c r="A2" s="12" t="s">
        <v>56</v>
      </c>
      <c r="B2" s="13">
        <v>61</v>
      </c>
      <c r="C2" s="13" t="s">
        <v>58</v>
      </c>
      <c r="D2" s="13" t="s">
        <v>59</v>
      </c>
      <c r="E2" s="15">
        <v>30</v>
      </c>
      <c r="F2" s="15">
        <v>62</v>
      </c>
      <c r="G2" s="15">
        <v>66</v>
      </c>
      <c r="H2" s="15">
        <v>57</v>
      </c>
      <c r="I2" s="15">
        <v>67</v>
      </c>
      <c r="J2" s="20">
        <f t="shared" ref="J2:J81" si="0">AVERAGE(E2:I2)</f>
        <v>56.4</v>
      </c>
      <c r="K2" s="21">
        <v>6.9802197802197803</v>
      </c>
      <c r="L2" s="2">
        <v>4</v>
      </c>
      <c r="M2" s="2">
        <v>1.8</v>
      </c>
      <c r="N2" s="2">
        <v>1</v>
      </c>
      <c r="O2" s="2">
        <v>1E-4</v>
      </c>
      <c r="P2" s="2">
        <f t="shared" ref="P2:P81" si="1">J2/O2</f>
        <v>564000</v>
      </c>
      <c r="Q2" s="9">
        <f t="shared" ref="Q2:Q81" si="2">P2/K2</f>
        <v>80799.748110831235</v>
      </c>
      <c r="R2" s="22">
        <f t="shared" ref="R2:R81" si="3">(2*P2)/K2</f>
        <v>161599.49622166247</v>
      </c>
    </row>
    <row r="3" spans="1:26" ht="15.75" customHeight="1" x14ac:dyDescent="0.35">
      <c r="A3" s="23" t="s">
        <v>56</v>
      </c>
      <c r="B3" s="23">
        <v>41</v>
      </c>
      <c r="C3" s="23" t="s">
        <v>64</v>
      </c>
      <c r="D3" s="23" t="s">
        <v>59</v>
      </c>
      <c r="E3" s="23">
        <v>19</v>
      </c>
      <c r="F3" s="23">
        <v>20</v>
      </c>
      <c r="G3" s="23">
        <v>16</v>
      </c>
      <c r="H3" s="23">
        <v>38</v>
      </c>
      <c r="I3" s="23">
        <v>14</v>
      </c>
      <c r="J3" s="25">
        <f t="shared" si="0"/>
        <v>21.4</v>
      </c>
      <c r="K3" s="26">
        <v>3.0593406593406591</v>
      </c>
      <c r="L3" s="23">
        <v>4</v>
      </c>
      <c r="M3" s="23">
        <v>1.8</v>
      </c>
      <c r="N3" s="23">
        <v>1</v>
      </c>
      <c r="O3" s="23">
        <v>1E-4</v>
      </c>
      <c r="P3" s="23">
        <f t="shared" si="1"/>
        <v>213999.99999999997</v>
      </c>
      <c r="Q3" s="26">
        <f t="shared" si="2"/>
        <v>69949.712643678155</v>
      </c>
      <c r="R3" s="28">
        <f t="shared" si="3"/>
        <v>139899.42528735631</v>
      </c>
      <c r="S3" s="30"/>
      <c r="T3" s="30"/>
      <c r="U3" s="30"/>
      <c r="V3" s="30"/>
      <c r="W3" s="30"/>
      <c r="X3" s="30"/>
      <c r="Y3" s="30"/>
      <c r="Z3" s="30"/>
    </row>
    <row r="4" spans="1:26" ht="15.75" customHeight="1" x14ac:dyDescent="0.35">
      <c r="A4" s="12" t="s">
        <v>66</v>
      </c>
      <c r="B4" s="13">
        <v>62</v>
      </c>
      <c r="C4" s="13" t="s">
        <v>58</v>
      </c>
      <c r="D4" s="13" t="s">
        <v>59</v>
      </c>
      <c r="E4" s="15">
        <v>19</v>
      </c>
      <c r="F4" s="15">
        <v>31</v>
      </c>
      <c r="G4" s="15">
        <v>15</v>
      </c>
      <c r="H4" s="15">
        <v>36</v>
      </c>
      <c r="I4" s="15">
        <v>32</v>
      </c>
      <c r="J4" s="20">
        <f t="shared" si="0"/>
        <v>26.6</v>
      </c>
      <c r="K4" s="21">
        <v>3.6835164835164838</v>
      </c>
      <c r="L4" s="2">
        <v>4</v>
      </c>
      <c r="M4" s="2">
        <v>1.8</v>
      </c>
      <c r="N4" s="2">
        <v>1</v>
      </c>
      <c r="O4" s="2">
        <v>1E-4</v>
      </c>
      <c r="P4" s="2">
        <f t="shared" si="1"/>
        <v>266000</v>
      </c>
      <c r="Q4" s="9">
        <f t="shared" si="2"/>
        <v>72213.603818615753</v>
      </c>
      <c r="R4" s="22">
        <f t="shared" si="3"/>
        <v>144427.20763723151</v>
      </c>
    </row>
    <row r="5" spans="1:26" ht="15.75" customHeight="1" x14ac:dyDescent="0.35">
      <c r="A5" s="23" t="s">
        <v>66</v>
      </c>
      <c r="B5" s="23">
        <v>42</v>
      </c>
      <c r="C5" s="23" t="s">
        <v>64</v>
      </c>
      <c r="D5" s="23" t="s">
        <v>59</v>
      </c>
      <c r="E5" s="23">
        <v>58</v>
      </c>
      <c r="F5" s="23">
        <v>56</v>
      </c>
      <c r="G5" s="23">
        <v>31</v>
      </c>
      <c r="H5" s="23">
        <v>158</v>
      </c>
      <c r="I5" s="23">
        <v>50</v>
      </c>
      <c r="J5" s="25">
        <f t="shared" si="0"/>
        <v>70.599999999999994</v>
      </c>
      <c r="K5" s="26">
        <v>3.1186813186813187</v>
      </c>
      <c r="L5" s="23">
        <v>4</v>
      </c>
      <c r="M5" s="23">
        <v>1.8</v>
      </c>
      <c r="N5" s="23">
        <v>1</v>
      </c>
      <c r="O5" s="23">
        <v>1E-4</v>
      </c>
      <c r="P5" s="23">
        <f t="shared" si="1"/>
        <v>705999.99999999988</v>
      </c>
      <c r="Q5" s="26">
        <f t="shared" si="2"/>
        <v>226377.73079633541</v>
      </c>
      <c r="R5" s="28">
        <f t="shared" si="3"/>
        <v>452755.46159267082</v>
      </c>
      <c r="S5" s="30"/>
      <c r="T5" s="30"/>
      <c r="U5" s="30"/>
      <c r="V5" s="30"/>
      <c r="W5" s="30"/>
      <c r="X5" s="30"/>
      <c r="Y5" s="30"/>
      <c r="Z5" s="30"/>
    </row>
    <row r="6" spans="1:26" ht="15.75" customHeight="1" x14ac:dyDescent="0.35">
      <c r="A6" s="12" t="s">
        <v>67</v>
      </c>
      <c r="B6" s="13">
        <v>63</v>
      </c>
      <c r="C6" s="13" t="s">
        <v>58</v>
      </c>
      <c r="D6" s="13" t="s">
        <v>59</v>
      </c>
      <c r="E6" s="15">
        <v>54</v>
      </c>
      <c r="F6" s="15">
        <v>86</v>
      </c>
      <c r="G6" s="15">
        <v>91</v>
      </c>
      <c r="H6" s="15">
        <v>74</v>
      </c>
      <c r="I6" s="15">
        <v>65</v>
      </c>
      <c r="J6" s="20">
        <f t="shared" si="0"/>
        <v>74</v>
      </c>
      <c r="K6" s="21">
        <v>3.9582417582417579</v>
      </c>
      <c r="L6" s="2">
        <v>4</v>
      </c>
      <c r="M6" s="2">
        <v>1.8</v>
      </c>
      <c r="N6" s="2">
        <v>1</v>
      </c>
      <c r="O6" s="2">
        <v>1E-4</v>
      </c>
      <c r="P6" s="2">
        <f t="shared" si="1"/>
        <v>740000</v>
      </c>
      <c r="Q6" s="9">
        <f t="shared" si="2"/>
        <v>186951.69350360913</v>
      </c>
      <c r="R6" s="22">
        <f t="shared" si="3"/>
        <v>373903.38700721826</v>
      </c>
    </row>
    <row r="7" spans="1:26" ht="15.75" customHeight="1" x14ac:dyDescent="0.35">
      <c r="A7" s="23" t="s">
        <v>67</v>
      </c>
      <c r="B7" s="23">
        <v>43</v>
      </c>
      <c r="C7" s="23" t="s">
        <v>64</v>
      </c>
      <c r="D7" s="23" t="s">
        <v>59</v>
      </c>
      <c r="E7" s="23">
        <v>30</v>
      </c>
      <c r="F7" s="23">
        <v>37</v>
      </c>
      <c r="G7" s="23">
        <v>22</v>
      </c>
      <c r="H7" s="23">
        <v>45</v>
      </c>
      <c r="I7" s="23">
        <v>99</v>
      </c>
      <c r="J7" s="25">
        <f t="shared" si="0"/>
        <v>46.6</v>
      </c>
      <c r="K7" s="26">
        <v>3.8835164835164835</v>
      </c>
      <c r="L7" s="23">
        <v>4</v>
      </c>
      <c r="M7" s="23">
        <v>1.8</v>
      </c>
      <c r="N7" s="23">
        <v>1</v>
      </c>
      <c r="O7" s="23">
        <v>1E-4</v>
      </c>
      <c r="P7" s="23">
        <f t="shared" si="1"/>
        <v>466000</v>
      </c>
      <c r="Q7" s="26">
        <f t="shared" si="2"/>
        <v>119994.34069043577</v>
      </c>
      <c r="R7" s="28">
        <f t="shared" si="3"/>
        <v>239988.68138087154</v>
      </c>
      <c r="S7" s="30"/>
      <c r="T7" s="30"/>
      <c r="U7" s="30"/>
      <c r="V7" s="30"/>
      <c r="W7" s="30"/>
      <c r="X7" s="30"/>
      <c r="Y7" s="30"/>
      <c r="Z7" s="30"/>
    </row>
    <row r="8" spans="1:26" ht="15.75" customHeight="1" x14ac:dyDescent="0.35">
      <c r="A8" s="12" t="s">
        <v>69</v>
      </c>
      <c r="B8" s="13">
        <v>64</v>
      </c>
      <c r="C8" s="13" t="s">
        <v>58</v>
      </c>
      <c r="D8" s="13" t="s">
        <v>59</v>
      </c>
      <c r="E8" s="33">
        <v>55</v>
      </c>
      <c r="F8" s="33">
        <v>119</v>
      </c>
      <c r="G8" s="33">
        <v>95</v>
      </c>
      <c r="H8" s="33">
        <v>96</v>
      </c>
      <c r="I8" s="33">
        <v>84</v>
      </c>
      <c r="J8" s="20">
        <f t="shared" si="0"/>
        <v>89.8</v>
      </c>
      <c r="K8" s="21">
        <v>4.582417582417583</v>
      </c>
      <c r="L8" s="2">
        <v>4</v>
      </c>
      <c r="M8" s="2">
        <v>1.8</v>
      </c>
      <c r="N8" s="2">
        <v>1</v>
      </c>
      <c r="O8" s="2">
        <v>1E-4</v>
      </c>
      <c r="P8" s="2">
        <f t="shared" si="1"/>
        <v>897999.99999999988</v>
      </c>
      <c r="Q8" s="9">
        <f t="shared" si="2"/>
        <v>195966.42685851315</v>
      </c>
      <c r="R8" s="22">
        <f t="shared" si="3"/>
        <v>391932.8537170263</v>
      </c>
    </row>
    <row r="9" spans="1:26" ht="15.75" customHeight="1" x14ac:dyDescent="0.35">
      <c r="A9" s="23" t="s">
        <v>69</v>
      </c>
      <c r="B9" s="23">
        <v>44</v>
      </c>
      <c r="C9" s="23" t="s">
        <v>64</v>
      </c>
      <c r="D9" s="23" t="s">
        <v>59</v>
      </c>
      <c r="E9" s="23">
        <v>43</v>
      </c>
      <c r="F9" s="23">
        <v>55</v>
      </c>
      <c r="G9" s="23">
        <v>36</v>
      </c>
      <c r="H9" s="23">
        <v>83</v>
      </c>
      <c r="I9" s="23">
        <v>74</v>
      </c>
      <c r="J9" s="25">
        <f t="shared" si="0"/>
        <v>58.2</v>
      </c>
      <c r="K9" s="26">
        <v>3.8879120879120879</v>
      </c>
      <c r="L9" s="23">
        <v>4</v>
      </c>
      <c r="M9" s="23">
        <v>1.8</v>
      </c>
      <c r="N9" s="23">
        <v>1</v>
      </c>
      <c r="O9" s="23">
        <v>1E-4</v>
      </c>
      <c r="P9" s="23">
        <f t="shared" si="1"/>
        <v>582000</v>
      </c>
      <c r="Q9" s="26">
        <f t="shared" si="2"/>
        <v>149694.74279253816</v>
      </c>
      <c r="R9" s="28">
        <f t="shared" si="3"/>
        <v>299389.48558507633</v>
      </c>
      <c r="S9" s="30"/>
      <c r="T9" s="30"/>
      <c r="U9" s="30"/>
      <c r="V9" s="30"/>
      <c r="W9" s="30"/>
      <c r="X9" s="30"/>
      <c r="Y9" s="30"/>
      <c r="Z9" s="30"/>
    </row>
    <row r="10" spans="1:26" ht="15.75" customHeight="1" x14ac:dyDescent="0.35">
      <c r="A10" s="12" t="s">
        <v>70</v>
      </c>
      <c r="B10" s="13">
        <v>65</v>
      </c>
      <c r="C10" s="13" t="s">
        <v>58</v>
      </c>
      <c r="D10" s="13" t="s">
        <v>59</v>
      </c>
      <c r="E10" s="33">
        <v>118</v>
      </c>
      <c r="F10" s="33">
        <v>149</v>
      </c>
      <c r="G10" s="33">
        <v>134</v>
      </c>
      <c r="H10" s="33">
        <v>141</v>
      </c>
      <c r="I10" s="33">
        <v>123</v>
      </c>
      <c r="J10" s="20">
        <f t="shared" si="0"/>
        <v>133</v>
      </c>
      <c r="K10" s="21">
        <v>5.6593406593406597</v>
      </c>
      <c r="L10" s="2">
        <v>4</v>
      </c>
      <c r="M10" s="2">
        <v>1.8</v>
      </c>
      <c r="N10" s="2">
        <v>1</v>
      </c>
      <c r="O10" s="2">
        <v>1E-4</v>
      </c>
      <c r="P10" s="2">
        <f t="shared" si="1"/>
        <v>1330000</v>
      </c>
      <c r="Q10" s="9">
        <f t="shared" si="2"/>
        <v>235009.70873786407</v>
      </c>
      <c r="R10" s="22">
        <f t="shared" si="3"/>
        <v>470019.41747572814</v>
      </c>
    </row>
    <row r="11" spans="1:26" ht="15.75" customHeight="1" x14ac:dyDescent="0.35">
      <c r="A11" s="23" t="s">
        <v>70</v>
      </c>
      <c r="B11" s="34">
        <v>45</v>
      </c>
      <c r="C11" s="23" t="s">
        <v>64</v>
      </c>
      <c r="D11" s="23" t="s">
        <v>59</v>
      </c>
      <c r="E11" s="34">
        <v>65</v>
      </c>
      <c r="F11" s="34">
        <v>73</v>
      </c>
      <c r="G11" s="34">
        <v>82</v>
      </c>
      <c r="H11" s="34">
        <v>77</v>
      </c>
      <c r="I11" s="34">
        <v>51</v>
      </c>
      <c r="J11" s="35">
        <f t="shared" si="0"/>
        <v>69.599999999999994</v>
      </c>
      <c r="K11" s="36">
        <v>3.2615384615384615</v>
      </c>
      <c r="L11" s="34">
        <v>4</v>
      </c>
      <c r="M11" s="34">
        <v>1.8</v>
      </c>
      <c r="N11" s="34">
        <v>1</v>
      </c>
      <c r="O11" s="34">
        <v>1E-4</v>
      </c>
      <c r="P11" s="34">
        <f t="shared" si="1"/>
        <v>695999.99999999988</v>
      </c>
      <c r="Q11" s="36">
        <f t="shared" si="2"/>
        <v>213396.22641509431</v>
      </c>
      <c r="R11" s="37">
        <f t="shared" si="3"/>
        <v>426792.45283018862</v>
      </c>
      <c r="S11" s="30"/>
      <c r="T11" s="30"/>
      <c r="U11" s="30"/>
      <c r="V11" s="30"/>
      <c r="W11" s="30"/>
      <c r="X11" s="30"/>
      <c r="Y11" s="30"/>
      <c r="Z11" s="30"/>
    </row>
    <row r="12" spans="1:26" ht="15.75" customHeight="1" x14ac:dyDescent="0.35">
      <c r="A12" s="38" t="s">
        <v>72</v>
      </c>
      <c r="B12" s="39">
        <v>66</v>
      </c>
      <c r="C12" s="40" t="s">
        <v>58</v>
      </c>
      <c r="D12" s="40" t="s">
        <v>59</v>
      </c>
      <c r="E12" s="41">
        <v>59</v>
      </c>
      <c r="F12" s="41">
        <v>43</v>
      </c>
      <c r="G12" s="41">
        <v>43</v>
      </c>
      <c r="H12" s="41">
        <v>66</v>
      </c>
      <c r="I12" s="41">
        <v>43</v>
      </c>
      <c r="J12" s="42">
        <f t="shared" si="0"/>
        <v>50.8</v>
      </c>
      <c r="K12" s="43">
        <v>8.2263736263736273</v>
      </c>
      <c r="L12" s="45">
        <v>4</v>
      </c>
      <c r="M12" s="45">
        <v>1.8</v>
      </c>
      <c r="N12" s="45">
        <v>1</v>
      </c>
      <c r="O12" s="45">
        <v>1E-4</v>
      </c>
      <c r="P12" s="45">
        <f t="shared" si="1"/>
        <v>507999.99999999994</v>
      </c>
      <c r="Q12" s="46">
        <f t="shared" si="2"/>
        <v>61752.604862409818</v>
      </c>
      <c r="R12" s="47">
        <f t="shared" si="3"/>
        <v>123505.20972481964</v>
      </c>
      <c r="S12" s="30"/>
      <c r="T12" s="30"/>
      <c r="U12" s="30"/>
      <c r="V12" s="30"/>
      <c r="W12" s="30"/>
      <c r="X12" s="30"/>
      <c r="Y12" s="30"/>
      <c r="Z12" s="30"/>
    </row>
    <row r="13" spans="1:26" ht="15.75" customHeight="1" x14ac:dyDescent="0.35">
      <c r="A13" s="23" t="s">
        <v>72</v>
      </c>
      <c r="B13" s="34">
        <v>46</v>
      </c>
      <c r="C13" s="23" t="s">
        <v>64</v>
      </c>
      <c r="D13" s="23" t="s">
        <v>59</v>
      </c>
      <c r="E13" s="34">
        <v>102</v>
      </c>
      <c r="F13" s="34">
        <v>113</v>
      </c>
      <c r="G13" s="34">
        <v>98</v>
      </c>
      <c r="H13" s="34">
        <v>85</v>
      </c>
      <c r="I13" s="34">
        <v>99</v>
      </c>
      <c r="J13" s="35">
        <f t="shared" si="0"/>
        <v>99.4</v>
      </c>
      <c r="K13" s="36">
        <v>6.1494505494505498</v>
      </c>
      <c r="L13" s="34">
        <v>4</v>
      </c>
      <c r="M13" s="34">
        <v>1.8</v>
      </c>
      <c r="N13" s="34">
        <v>1</v>
      </c>
      <c r="O13" s="34">
        <v>1E-4</v>
      </c>
      <c r="P13" s="34">
        <f t="shared" si="1"/>
        <v>994000</v>
      </c>
      <c r="Q13" s="36">
        <f t="shared" si="2"/>
        <v>161640.45746962115</v>
      </c>
      <c r="R13" s="37">
        <f t="shared" si="3"/>
        <v>323280.9149392423</v>
      </c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35">
      <c r="A14" s="12" t="s">
        <v>73</v>
      </c>
      <c r="B14" s="13">
        <v>67</v>
      </c>
      <c r="C14" s="13" t="s">
        <v>58</v>
      </c>
      <c r="D14" s="13" t="s">
        <v>59</v>
      </c>
      <c r="E14" s="33">
        <v>71</v>
      </c>
      <c r="F14" s="33">
        <v>66</v>
      </c>
      <c r="G14" s="33">
        <v>100</v>
      </c>
      <c r="H14" s="33">
        <v>72</v>
      </c>
      <c r="I14" s="33">
        <v>92</v>
      </c>
      <c r="J14" s="20">
        <f t="shared" si="0"/>
        <v>80.2</v>
      </c>
      <c r="K14" s="21">
        <v>6.0967032967032964</v>
      </c>
      <c r="L14" s="2">
        <v>4</v>
      </c>
      <c r="M14" s="2">
        <v>1.8</v>
      </c>
      <c r="N14" s="2">
        <v>1</v>
      </c>
      <c r="O14" s="2">
        <v>1E-4</v>
      </c>
      <c r="P14" s="2">
        <f t="shared" si="1"/>
        <v>802000</v>
      </c>
      <c r="Q14" s="9">
        <f t="shared" si="2"/>
        <v>131546.50324441242</v>
      </c>
      <c r="R14" s="22">
        <f t="shared" si="3"/>
        <v>263093.00648882485</v>
      </c>
    </row>
    <row r="15" spans="1:26" ht="15.75" customHeight="1" x14ac:dyDescent="0.35">
      <c r="A15" s="23" t="s">
        <v>73</v>
      </c>
      <c r="B15" s="34">
        <v>47</v>
      </c>
      <c r="C15" s="23" t="s">
        <v>64</v>
      </c>
      <c r="D15" s="23" t="s">
        <v>59</v>
      </c>
      <c r="E15" s="34">
        <v>50</v>
      </c>
      <c r="F15" s="34">
        <v>61</v>
      </c>
      <c r="G15" s="34">
        <v>55</v>
      </c>
      <c r="H15" s="34">
        <v>56</v>
      </c>
      <c r="I15" s="34">
        <v>44</v>
      </c>
      <c r="J15" s="35">
        <f t="shared" si="0"/>
        <v>53.2</v>
      </c>
      <c r="K15" s="36">
        <v>3.3538461538461544</v>
      </c>
      <c r="L15" s="34">
        <v>4</v>
      </c>
      <c r="M15" s="34">
        <v>1.8</v>
      </c>
      <c r="N15" s="34">
        <v>1</v>
      </c>
      <c r="O15" s="34">
        <v>1E-4</v>
      </c>
      <c r="P15" s="34">
        <f t="shared" si="1"/>
        <v>532000</v>
      </c>
      <c r="Q15" s="36">
        <f t="shared" si="2"/>
        <v>158623.85321100915</v>
      </c>
      <c r="R15" s="28">
        <f t="shared" si="3"/>
        <v>317247.70642201829</v>
      </c>
      <c r="S15" s="30"/>
      <c r="T15" s="30"/>
      <c r="U15" s="30"/>
      <c r="V15" s="30"/>
      <c r="W15" s="30"/>
      <c r="X15" s="30"/>
      <c r="Y15" s="30"/>
      <c r="Z15" s="30"/>
    </row>
    <row r="16" spans="1:26" ht="15.75" customHeight="1" x14ac:dyDescent="0.35">
      <c r="A16" s="12" t="s">
        <v>74</v>
      </c>
      <c r="B16" s="13">
        <v>68</v>
      </c>
      <c r="C16" s="13" t="s">
        <v>58</v>
      </c>
      <c r="D16" s="13" t="s">
        <v>59</v>
      </c>
      <c r="E16" s="33">
        <v>88</v>
      </c>
      <c r="F16" s="33">
        <v>70</v>
      </c>
      <c r="G16" s="33">
        <v>71</v>
      </c>
      <c r="H16" s="33">
        <v>79</v>
      </c>
      <c r="I16" s="33">
        <v>61</v>
      </c>
      <c r="J16" s="20">
        <f t="shared" si="0"/>
        <v>73.8</v>
      </c>
      <c r="K16" s="21">
        <v>5.3978021978021973</v>
      </c>
      <c r="L16" s="2">
        <v>4</v>
      </c>
      <c r="M16" s="2">
        <v>1.8</v>
      </c>
      <c r="N16" s="2">
        <v>1</v>
      </c>
      <c r="O16" s="2">
        <v>1E-4</v>
      </c>
      <c r="P16" s="2">
        <f t="shared" si="1"/>
        <v>737999.99999999988</v>
      </c>
      <c r="Q16" s="9">
        <f t="shared" si="2"/>
        <v>136722.31270358304</v>
      </c>
      <c r="R16" s="22">
        <f t="shared" si="3"/>
        <v>273444.62540716608</v>
      </c>
    </row>
    <row r="17" spans="1:26" ht="15.75" customHeight="1" x14ac:dyDescent="0.35">
      <c r="A17" s="23" t="s">
        <v>74</v>
      </c>
      <c r="B17" s="34">
        <v>48</v>
      </c>
      <c r="C17" s="23" t="s">
        <v>64</v>
      </c>
      <c r="D17" s="23" t="s">
        <v>59</v>
      </c>
      <c r="E17" s="34">
        <v>41</v>
      </c>
      <c r="F17" s="34">
        <v>26</v>
      </c>
      <c r="G17" s="34">
        <v>20</v>
      </c>
      <c r="H17" s="34">
        <v>28</v>
      </c>
      <c r="I17" s="34">
        <v>28</v>
      </c>
      <c r="J17" s="35">
        <f t="shared" si="0"/>
        <v>28.6</v>
      </c>
      <c r="K17" s="36">
        <v>2.9494505494505492</v>
      </c>
      <c r="L17" s="34">
        <v>4</v>
      </c>
      <c r="M17" s="34">
        <v>1.8</v>
      </c>
      <c r="N17" s="34">
        <v>1</v>
      </c>
      <c r="O17" s="34">
        <v>1E-4</v>
      </c>
      <c r="P17" s="34">
        <f t="shared" si="1"/>
        <v>286000</v>
      </c>
      <c r="Q17" s="36">
        <f t="shared" si="2"/>
        <v>96967.213114754108</v>
      </c>
      <c r="R17" s="37">
        <f t="shared" si="3"/>
        <v>193934.42622950822</v>
      </c>
      <c r="S17" s="30"/>
      <c r="T17" s="30"/>
      <c r="U17" s="30"/>
      <c r="V17" s="30"/>
      <c r="W17" s="30"/>
      <c r="X17" s="30"/>
      <c r="Y17" s="30"/>
      <c r="Z17" s="30"/>
    </row>
    <row r="18" spans="1:26" ht="15.75" customHeight="1" x14ac:dyDescent="0.35">
      <c r="A18" s="12" t="s">
        <v>75</v>
      </c>
      <c r="B18" s="13">
        <v>69</v>
      </c>
      <c r="C18" s="13" t="s">
        <v>58</v>
      </c>
      <c r="D18" s="13" t="s">
        <v>59</v>
      </c>
      <c r="E18" s="33">
        <v>85</v>
      </c>
      <c r="F18" s="33">
        <v>68</v>
      </c>
      <c r="G18" s="33">
        <v>90</v>
      </c>
      <c r="H18" s="33">
        <v>68</v>
      </c>
      <c r="I18" s="33">
        <v>75</v>
      </c>
      <c r="J18" s="20">
        <f t="shared" si="0"/>
        <v>77.2</v>
      </c>
      <c r="K18" s="21">
        <v>3.5912087912087909</v>
      </c>
      <c r="L18" s="2">
        <v>4</v>
      </c>
      <c r="M18" s="2">
        <v>1.8</v>
      </c>
      <c r="N18" s="2">
        <v>1</v>
      </c>
      <c r="O18" s="2">
        <v>1E-4</v>
      </c>
      <c r="P18" s="2">
        <f t="shared" si="1"/>
        <v>772000</v>
      </c>
      <c r="Q18" s="9">
        <f t="shared" si="2"/>
        <v>214969.40024479807</v>
      </c>
      <c r="R18" s="22">
        <f t="shared" si="3"/>
        <v>429938.80048959615</v>
      </c>
    </row>
    <row r="19" spans="1:26" ht="15.75" customHeight="1" x14ac:dyDescent="0.35">
      <c r="A19" s="23" t="s">
        <v>75</v>
      </c>
      <c r="B19" s="34">
        <v>49</v>
      </c>
      <c r="C19" s="23" t="s">
        <v>64</v>
      </c>
      <c r="D19" s="23" t="s">
        <v>59</v>
      </c>
      <c r="E19" s="34">
        <v>25</v>
      </c>
      <c r="F19" s="34">
        <v>39</v>
      </c>
      <c r="G19" s="34">
        <v>37</v>
      </c>
      <c r="H19" s="34">
        <v>123</v>
      </c>
      <c r="I19" s="34">
        <v>40</v>
      </c>
      <c r="J19" s="35">
        <f t="shared" si="0"/>
        <v>52.8</v>
      </c>
      <c r="K19" s="36">
        <v>2.8263736263736261</v>
      </c>
      <c r="L19" s="34">
        <v>4</v>
      </c>
      <c r="M19" s="34">
        <v>1.8</v>
      </c>
      <c r="N19" s="34">
        <v>1</v>
      </c>
      <c r="O19" s="34">
        <v>1E-4</v>
      </c>
      <c r="P19" s="34">
        <f t="shared" si="1"/>
        <v>528000</v>
      </c>
      <c r="Q19" s="36">
        <f t="shared" si="2"/>
        <v>186811.81959564544</v>
      </c>
      <c r="R19" s="37">
        <f t="shared" si="3"/>
        <v>373623.63919129089</v>
      </c>
      <c r="S19" s="30"/>
      <c r="T19" s="30"/>
      <c r="U19" s="30"/>
      <c r="V19" s="30"/>
      <c r="W19" s="30"/>
      <c r="X19" s="30"/>
      <c r="Y19" s="30"/>
      <c r="Z19" s="30"/>
    </row>
    <row r="20" spans="1:26" ht="15.75" customHeight="1" x14ac:dyDescent="0.35">
      <c r="A20" s="12" t="s">
        <v>76</v>
      </c>
      <c r="B20" s="13">
        <v>70</v>
      </c>
      <c r="C20" s="13" t="s">
        <v>58</v>
      </c>
      <c r="D20" s="13" t="s">
        <v>59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20">
        <f t="shared" si="0"/>
        <v>0</v>
      </c>
      <c r="K20" s="21">
        <v>4.0241758241758241</v>
      </c>
      <c r="L20" s="2">
        <v>4</v>
      </c>
      <c r="M20" s="2">
        <v>1.8</v>
      </c>
      <c r="N20" s="2">
        <v>1</v>
      </c>
      <c r="O20" s="2">
        <v>1E-4</v>
      </c>
      <c r="P20" s="2" t="s">
        <v>160</v>
      </c>
      <c r="Q20" s="9" t="s">
        <v>160</v>
      </c>
      <c r="R20" s="22" t="s">
        <v>160</v>
      </c>
      <c r="S20" s="2" t="s">
        <v>77</v>
      </c>
    </row>
    <row r="21" spans="1:26" ht="15.75" customHeight="1" x14ac:dyDescent="0.35">
      <c r="A21" s="23" t="s">
        <v>76</v>
      </c>
      <c r="B21" s="34">
        <v>50</v>
      </c>
      <c r="C21" s="23" t="s">
        <v>64</v>
      </c>
      <c r="D21" s="23" t="s">
        <v>59</v>
      </c>
      <c r="E21" s="34">
        <v>30</v>
      </c>
      <c r="F21" s="34">
        <v>28</v>
      </c>
      <c r="G21" s="34">
        <v>72</v>
      </c>
      <c r="H21" s="34">
        <v>32</v>
      </c>
      <c r="I21" s="34">
        <v>34</v>
      </c>
      <c r="J21" s="35">
        <f t="shared" si="0"/>
        <v>39.200000000000003</v>
      </c>
      <c r="K21" s="36">
        <v>3.1890109890109892</v>
      </c>
      <c r="L21" s="34">
        <v>4</v>
      </c>
      <c r="M21" s="34">
        <v>1.8</v>
      </c>
      <c r="N21" s="34">
        <v>1</v>
      </c>
      <c r="O21" s="34">
        <v>1E-4</v>
      </c>
      <c r="P21" s="34">
        <f t="shared" si="1"/>
        <v>392000</v>
      </c>
      <c r="Q21" s="36">
        <f t="shared" si="2"/>
        <v>122922.12267401791</v>
      </c>
      <c r="R21" s="37">
        <f t="shared" si="3"/>
        <v>245844.24534803582</v>
      </c>
      <c r="S21" s="30"/>
      <c r="T21" s="30"/>
      <c r="U21" s="30"/>
      <c r="V21" s="30"/>
      <c r="W21" s="30"/>
      <c r="X21" s="30"/>
      <c r="Y21" s="30"/>
      <c r="Z21" s="30"/>
    </row>
    <row r="22" spans="1:26" ht="15.75" customHeight="1" x14ac:dyDescent="0.35">
      <c r="A22" s="12" t="s">
        <v>78</v>
      </c>
      <c r="B22" s="13">
        <v>71</v>
      </c>
      <c r="C22" s="13" t="s">
        <v>58</v>
      </c>
      <c r="D22" s="13" t="s">
        <v>59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20">
        <f t="shared" si="0"/>
        <v>0</v>
      </c>
      <c r="K22" s="21">
        <v>4.3230769230769228</v>
      </c>
      <c r="L22" s="2">
        <v>4</v>
      </c>
      <c r="M22" s="2">
        <v>1.8</v>
      </c>
      <c r="N22" s="2">
        <v>1</v>
      </c>
      <c r="O22" s="2">
        <v>1E-4</v>
      </c>
      <c r="P22" s="2" t="s">
        <v>160</v>
      </c>
      <c r="Q22" s="9" t="s">
        <v>160</v>
      </c>
      <c r="R22" s="22" t="s">
        <v>160</v>
      </c>
      <c r="S22" s="2" t="s">
        <v>77</v>
      </c>
    </row>
    <row r="23" spans="1:26" ht="15.75" customHeight="1" x14ac:dyDescent="0.35">
      <c r="A23" s="23" t="s">
        <v>78</v>
      </c>
      <c r="B23" s="34">
        <v>51</v>
      </c>
      <c r="C23" s="23" t="s">
        <v>64</v>
      </c>
      <c r="D23" s="23" t="s">
        <v>59</v>
      </c>
      <c r="E23" s="34">
        <v>20</v>
      </c>
      <c r="F23" s="34">
        <v>19</v>
      </c>
      <c r="G23" s="34">
        <v>18</v>
      </c>
      <c r="H23" s="34">
        <v>19</v>
      </c>
      <c r="I23" s="34">
        <v>25</v>
      </c>
      <c r="J23" s="35">
        <f t="shared" si="0"/>
        <v>20.2</v>
      </c>
      <c r="K23" s="36">
        <v>3.6065934065934067</v>
      </c>
      <c r="L23" s="34">
        <v>4</v>
      </c>
      <c r="M23" s="34">
        <v>1.8</v>
      </c>
      <c r="N23" s="34">
        <v>1</v>
      </c>
      <c r="O23" s="34">
        <v>1E-4</v>
      </c>
      <c r="P23" s="34">
        <f t="shared" si="1"/>
        <v>201999.99999999997</v>
      </c>
      <c r="Q23" s="36">
        <f t="shared" si="2"/>
        <v>56008.531383302856</v>
      </c>
      <c r="R23" s="37">
        <f t="shared" si="3"/>
        <v>112017.06276660571</v>
      </c>
      <c r="S23" s="30"/>
      <c r="T23" s="30"/>
      <c r="U23" s="30"/>
      <c r="V23" s="30"/>
      <c r="W23" s="30"/>
      <c r="X23" s="30"/>
      <c r="Y23" s="30"/>
      <c r="Z23" s="30"/>
    </row>
    <row r="24" spans="1:26" ht="15.75" customHeight="1" x14ac:dyDescent="0.35">
      <c r="A24" s="12" t="s">
        <v>83</v>
      </c>
      <c r="B24" s="13">
        <v>72</v>
      </c>
      <c r="C24" s="13" t="s">
        <v>58</v>
      </c>
      <c r="D24" s="13" t="s">
        <v>59</v>
      </c>
      <c r="E24" s="33">
        <v>3</v>
      </c>
      <c r="F24" s="33">
        <v>2</v>
      </c>
      <c r="G24" s="33">
        <v>2</v>
      </c>
      <c r="H24" s="33">
        <v>5</v>
      </c>
      <c r="I24" s="33">
        <v>2</v>
      </c>
      <c r="J24" s="20">
        <f t="shared" si="0"/>
        <v>2.8</v>
      </c>
      <c r="K24" s="21">
        <v>5.8021978021978029</v>
      </c>
      <c r="L24" s="2">
        <v>4</v>
      </c>
      <c r="M24" s="2">
        <v>1.8</v>
      </c>
      <c r="N24" s="2">
        <v>1</v>
      </c>
      <c r="O24" s="2">
        <v>1E-4</v>
      </c>
      <c r="P24" s="2">
        <f t="shared" si="1"/>
        <v>27999.999999999996</v>
      </c>
      <c r="Q24" s="9">
        <f t="shared" si="2"/>
        <v>4825.7575757575742</v>
      </c>
      <c r="R24" s="22">
        <f t="shared" si="3"/>
        <v>9651.5151515151483</v>
      </c>
    </row>
    <row r="25" spans="1:26" ht="15.75" customHeight="1" x14ac:dyDescent="0.35">
      <c r="A25" s="23" t="s">
        <v>83</v>
      </c>
      <c r="B25" s="34">
        <v>52</v>
      </c>
      <c r="C25" s="23" t="s">
        <v>64</v>
      </c>
      <c r="D25" s="23" t="s">
        <v>59</v>
      </c>
      <c r="E25" s="34">
        <v>27</v>
      </c>
      <c r="F25" s="34">
        <v>22</v>
      </c>
      <c r="G25" s="34">
        <v>33</v>
      </c>
      <c r="H25" s="34">
        <v>43</v>
      </c>
      <c r="I25" s="34">
        <v>42</v>
      </c>
      <c r="J25" s="35">
        <f t="shared" si="0"/>
        <v>33.4</v>
      </c>
      <c r="K25" s="36">
        <v>2.186813186813187</v>
      </c>
      <c r="L25" s="34">
        <v>4</v>
      </c>
      <c r="M25" s="34">
        <v>1.8</v>
      </c>
      <c r="N25" s="34">
        <v>1</v>
      </c>
      <c r="O25" s="34">
        <v>1E-4</v>
      </c>
      <c r="P25" s="34">
        <f t="shared" si="1"/>
        <v>333999.99999999994</v>
      </c>
      <c r="Q25" s="36">
        <f t="shared" si="2"/>
        <v>152733.66834170849</v>
      </c>
      <c r="R25" s="37">
        <f t="shared" si="3"/>
        <v>305467.33668341697</v>
      </c>
      <c r="S25" s="30"/>
      <c r="T25" s="30"/>
      <c r="U25" s="30"/>
      <c r="V25" s="30"/>
      <c r="W25" s="30"/>
      <c r="X25" s="30"/>
      <c r="Y25" s="30"/>
      <c r="Z25" s="30"/>
    </row>
    <row r="26" spans="1:26" ht="15.75" customHeight="1" x14ac:dyDescent="0.35">
      <c r="A26" s="12" t="s">
        <v>96</v>
      </c>
      <c r="B26" s="13">
        <v>73</v>
      </c>
      <c r="C26" s="13" t="s">
        <v>58</v>
      </c>
      <c r="D26" s="13" t="s">
        <v>59</v>
      </c>
      <c r="E26" s="2">
        <v>5</v>
      </c>
      <c r="F26" s="2">
        <v>5</v>
      </c>
      <c r="G26" s="2">
        <v>6</v>
      </c>
      <c r="H26" s="2">
        <v>6</v>
      </c>
      <c r="I26" s="2">
        <v>5</v>
      </c>
      <c r="J26" s="20">
        <f t="shared" si="0"/>
        <v>5.4</v>
      </c>
      <c r="K26" s="21">
        <v>11.23076923076923</v>
      </c>
      <c r="L26" s="2">
        <v>4</v>
      </c>
      <c r="M26" s="2">
        <v>1.8</v>
      </c>
      <c r="N26" s="2">
        <v>1</v>
      </c>
      <c r="O26" s="2">
        <v>1E-4</v>
      </c>
      <c r="P26" s="2">
        <f t="shared" si="1"/>
        <v>54000</v>
      </c>
      <c r="Q26" s="9">
        <f t="shared" si="2"/>
        <v>4808.2191780821922</v>
      </c>
      <c r="R26" s="22">
        <f t="shared" si="3"/>
        <v>9616.4383561643845</v>
      </c>
    </row>
    <row r="27" spans="1:26" ht="15.75" customHeight="1" x14ac:dyDescent="0.35">
      <c r="A27" s="23" t="s">
        <v>96</v>
      </c>
      <c r="B27" s="34">
        <v>53</v>
      </c>
      <c r="C27" s="23" t="s">
        <v>64</v>
      </c>
      <c r="D27" s="23" t="s">
        <v>59</v>
      </c>
      <c r="E27" s="34">
        <v>16</v>
      </c>
      <c r="F27" s="34">
        <v>23</v>
      </c>
      <c r="G27" s="34">
        <v>14</v>
      </c>
      <c r="H27" s="34">
        <v>15</v>
      </c>
      <c r="I27" s="34">
        <v>11</v>
      </c>
      <c r="J27" s="35">
        <f t="shared" si="0"/>
        <v>15.8</v>
      </c>
      <c r="K27" s="36">
        <v>2.2923076923076926</v>
      </c>
      <c r="L27" s="34">
        <v>4</v>
      </c>
      <c r="M27" s="34">
        <v>1.8</v>
      </c>
      <c r="N27" s="34">
        <v>1</v>
      </c>
      <c r="O27" s="34">
        <v>1E-4</v>
      </c>
      <c r="P27" s="34">
        <f t="shared" si="1"/>
        <v>158000</v>
      </c>
      <c r="Q27" s="36">
        <f t="shared" si="2"/>
        <v>68926.174496644293</v>
      </c>
      <c r="R27" s="37">
        <f t="shared" si="3"/>
        <v>137852.34899328859</v>
      </c>
      <c r="S27" s="30"/>
      <c r="T27" s="30"/>
      <c r="U27" s="30"/>
      <c r="V27" s="30"/>
      <c r="W27" s="30"/>
      <c r="X27" s="30"/>
      <c r="Y27" s="30"/>
      <c r="Z27" s="30"/>
    </row>
    <row r="28" spans="1:26" ht="15.75" customHeight="1" x14ac:dyDescent="0.35">
      <c r="A28" s="12" t="s">
        <v>129</v>
      </c>
      <c r="B28" s="13">
        <v>74</v>
      </c>
      <c r="C28" s="13" t="s">
        <v>58</v>
      </c>
      <c r="D28" s="13" t="s">
        <v>59</v>
      </c>
      <c r="E28" s="2">
        <v>33</v>
      </c>
      <c r="F28" s="2">
        <v>28</v>
      </c>
      <c r="G28" s="2">
        <v>58</v>
      </c>
      <c r="H28" s="2">
        <v>41</v>
      </c>
      <c r="I28" s="2">
        <v>44</v>
      </c>
      <c r="J28" s="20">
        <f t="shared" si="0"/>
        <v>40.799999999999997</v>
      </c>
      <c r="K28" s="21">
        <v>3.4263736263736262</v>
      </c>
      <c r="L28" s="2">
        <v>4</v>
      </c>
      <c r="M28" s="2">
        <v>1.8</v>
      </c>
      <c r="N28" s="2">
        <v>1</v>
      </c>
      <c r="O28" s="2">
        <v>1E-4</v>
      </c>
      <c r="P28" s="2">
        <f t="shared" si="1"/>
        <v>407999.99999999994</v>
      </c>
      <c r="Q28" s="9">
        <f t="shared" si="2"/>
        <v>119076.33098139832</v>
      </c>
      <c r="R28" s="22">
        <f t="shared" si="3"/>
        <v>238152.66196279664</v>
      </c>
    </row>
    <row r="29" spans="1:26" ht="15.75" customHeight="1" x14ac:dyDescent="0.35">
      <c r="A29" s="23" t="s">
        <v>129</v>
      </c>
      <c r="B29" s="34">
        <v>54</v>
      </c>
      <c r="C29" s="23" t="s">
        <v>64</v>
      </c>
      <c r="D29" s="23" t="s">
        <v>59</v>
      </c>
      <c r="E29" s="34">
        <v>53</v>
      </c>
      <c r="F29" s="34">
        <v>114</v>
      </c>
      <c r="G29" s="34">
        <v>114</v>
      </c>
      <c r="H29" s="34">
        <v>97</v>
      </c>
      <c r="I29" s="34">
        <v>98</v>
      </c>
      <c r="J29" s="35">
        <f t="shared" si="0"/>
        <v>95.2</v>
      </c>
      <c r="K29" s="36">
        <v>2.3560439560439561</v>
      </c>
      <c r="L29" s="34">
        <v>4</v>
      </c>
      <c r="M29" s="34">
        <v>1.8</v>
      </c>
      <c r="N29" s="34">
        <v>1</v>
      </c>
      <c r="O29" s="34">
        <v>1E-4</v>
      </c>
      <c r="P29" s="34">
        <f t="shared" si="1"/>
        <v>952000</v>
      </c>
      <c r="Q29" s="36">
        <f t="shared" si="2"/>
        <v>404067.16417910444</v>
      </c>
      <c r="R29" s="37">
        <f t="shared" si="3"/>
        <v>808134.32835820888</v>
      </c>
      <c r="S29" s="30"/>
      <c r="T29" s="30"/>
      <c r="U29" s="30"/>
      <c r="V29" s="30"/>
      <c r="W29" s="30"/>
      <c r="X29" s="30"/>
      <c r="Y29" s="30"/>
      <c r="Z29" s="30"/>
    </row>
    <row r="30" spans="1:26" ht="15.75" customHeight="1" x14ac:dyDescent="0.35">
      <c r="A30" s="12" t="s">
        <v>130</v>
      </c>
      <c r="B30" s="13">
        <v>75</v>
      </c>
      <c r="C30" s="13" t="s">
        <v>58</v>
      </c>
      <c r="D30" s="13" t="s">
        <v>59</v>
      </c>
      <c r="E30" s="2">
        <v>13</v>
      </c>
      <c r="F30" s="2">
        <v>10</v>
      </c>
      <c r="G30" s="2">
        <v>15</v>
      </c>
      <c r="H30" s="2">
        <v>22</v>
      </c>
      <c r="I30" s="2">
        <v>15</v>
      </c>
      <c r="J30" s="20">
        <f t="shared" si="0"/>
        <v>15</v>
      </c>
      <c r="K30" s="21">
        <v>3.7780219780219779</v>
      </c>
      <c r="L30" s="2">
        <v>4</v>
      </c>
      <c r="M30" s="2">
        <v>1.8</v>
      </c>
      <c r="N30" s="2">
        <v>1</v>
      </c>
      <c r="O30" s="2">
        <v>1E-4</v>
      </c>
      <c r="P30" s="2">
        <f t="shared" si="1"/>
        <v>150000</v>
      </c>
      <c r="Q30" s="9">
        <f t="shared" si="2"/>
        <v>39703.315881326351</v>
      </c>
      <c r="R30" s="22">
        <f t="shared" si="3"/>
        <v>79406.631762652702</v>
      </c>
    </row>
    <row r="31" spans="1:26" ht="15.75" customHeight="1" x14ac:dyDescent="0.35">
      <c r="A31" s="23" t="s">
        <v>130</v>
      </c>
      <c r="B31" s="34">
        <v>55</v>
      </c>
      <c r="C31" s="23" t="s">
        <v>64</v>
      </c>
      <c r="D31" s="23" t="s">
        <v>59</v>
      </c>
      <c r="E31" s="34">
        <v>85</v>
      </c>
      <c r="F31" s="34">
        <v>53</v>
      </c>
      <c r="G31" s="34">
        <v>74</v>
      </c>
      <c r="H31" s="34">
        <v>68</v>
      </c>
      <c r="I31" s="34">
        <v>129</v>
      </c>
      <c r="J31" s="35">
        <f t="shared" si="0"/>
        <v>81.8</v>
      </c>
      <c r="K31" s="36">
        <v>3.2219780219780221</v>
      </c>
      <c r="L31" s="34">
        <v>4</v>
      </c>
      <c r="M31" s="34">
        <v>1.8</v>
      </c>
      <c r="N31" s="34">
        <v>1</v>
      </c>
      <c r="O31" s="34">
        <v>1E-4</v>
      </c>
      <c r="P31" s="34">
        <f t="shared" si="1"/>
        <v>817999.99999999988</v>
      </c>
      <c r="Q31" s="36">
        <f t="shared" si="2"/>
        <v>253881.30968622098</v>
      </c>
      <c r="R31" s="37">
        <f t="shared" si="3"/>
        <v>507762.61937244196</v>
      </c>
      <c r="S31" s="30"/>
      <c r="T31" s="30"/>
      <c r="U31" s="30"/>
      <c r="V31" s="30"/>
      <c r="W31" s="30"/>
      <c r="X31" s="30"/>
      <c r="Y31" s="30"/>
      <c r="Z31" s="30"/>
    </row>
    <row r="32" spans="1:26" ht="15.75" customHeight="1" x14ac:dyDescent="0.35">
      <c r="A32" s="12" t="s">
        <v>131</v>
      </c>
      <c r="B32" s="13">
        <v>76</v>
      </c>
      <c r="C32" s="13" t="s">
        <v>58</v>
      </c>
      <c r="D32" s="13" t="s">
        <v>59</v>
      </c>
      <c r="E32" s="2">
        <v>32</v>
      </c>
      <c r="F32" s="2">
        <v>19</v>
      </c>
      <c r="G32" s="2">
        <v>38</v>
      </c>
      <c r="H32" s="2">
        <v>30</v>
      </c>
      <c r="I32" s="2">
        <v>30</v>
      </c>
      <c r="J32" s="20">
        <f t="shared" si="0"/>
        <v>29.8</v>
      </c>
      <c r="K32" s="21">
        <v>11.125274725274727</v>
      </c>
      <c r="L32" s="2">
        <v>4</v>
      </c>
      <c r="M32" s="2">
        <v>1.8</v>
      </c>
      <c r="N32" s="2">
        <v>1</v>
      </c>
      <c r="O32" s="2">
        <v>1E-4</v>
      </c>
      <c r="P32" s="2">
        <f t="shared" si="1"/>
        <v>298000</v>
      </c>
      <c r="Q32" s="9">
        <f t="shared" si="2"/>
        <v>26785.855393125243</v>
      </c>
      <c r="R32" s="22">
        <f t="shared" si="3"/>
        <v>53571.710786250485</v>
      </c>
    </row>
    <row r="33" spans="1:26" ht="15.75" customHeight="1" x14ac:dyDescent="0.35">
      <c r="A33" s="23" t="s">
        <v>131</v>
      </c>
      <c r="B33" s="34">
        <v>56</v>
      </c>
      <c r="C33" s="23" t="s">
        <v>64</v>
      </c>
      <c r="D33" s="23" t="s">
        <v>59</v>
      </c>
      <c r="E33" s="34">
        <v>60</v>
      </c>
      <c r="F33" s="34">
        <v>48</v>
      </c>
      <c r="G33" s="34">
        <v>19</v>
      </c>
      <c r="H33" s="34">
        <v>36</v>
      </c>
      <c r="I33" s="34">
        <v>212</v>
      </c>
      <c r="J33" s="35">
        <f t="shared" si="0"/>
        <v>75</v>
      </c>
      <c r="K33" s="36">
        <v>2.424175824175824</v>
      </c>
      <c r="L33" s="34">
        <v>4</v>
      </c>
      <c r="M33" s="34">
        <v>1.8</v>
      </c>
      <c r="N33" s="34">
        <v>1</v>
      </c>
      <c r="O33" s="34">
        <v>1E-4</v>
      </c>
      <c r="P33" s="34">
        <f t="shared" si="1"/>
        <v>750000</v>
      </c>
      <c r="Q33" s="36">
        <f t="shared" si="2"/>
        <v>309383.49954669084</v>
      </c>
      <c r="R33" s="37">
        <f t="shared" si="3"/>
        <v>618766.99909338169</v>
      </c>
      <c r="S33" s="30"/>
      <c r="T33" s="30"/>
      <c r="U33" s="30"/>
      <c r="V33" s="30"/>
      <c r="W33" s="30"/>
      <c r="X33" s="30"/>
      <c r="Y33" s="30"/>
      <c r="Z33" s="30"/>
    </row>
    <row r="34" spans="1:26" ht="15.75" customHeight="1" x14ac:dyDescent="0.35">
      <c r="A34" s="12" t="s">
        <v>132</v>
      </c>
      <c r="B34" s="13">
        <v>77</v>
      </c>
      <c r="C34" s="13" t="s">
        <v>58</v>
      </c>
      <c r="D34" s="13" t="s">
        <v>59</v>
      </c>
      <c r="E34" s="2">
        <v>57</v>
      </c>
      <c r="F34" s="2">
        <v>35</v>
      </c>
      <c r="G34" s="2">
        <v>31</v>
      </c>
      <c r="H34" s="2">
        <v>24</v>
      </c>
      <c r="I34" s="2">
        <v>16</v>
      </c>
      <c r="J34" s="20">
        <f t="shared" si="0"/>
        <v>32.6</v>
      </c>
      <c r="K34" s="21">
        <v>3.7802197802197801</v>
      </c>
      <c r="L34" s="2">
        <v>4</v>
      </c>
      <c r="M34" s="2">
        <v>1.8</v>
      </c>
      <c r="N34" s="2">
        <v>1</v>
      </c>
      <c r="O34" s="2">
        <v>1E-4</v>
      </c>
      <c r="P34" s="2">
        <f t="shared" si="1"/>
        <v>326000</v>
      </c>
      <c r="Q34" s="9">
        <f t="shared" si="2"/>
        <v>86238.372093023252</v>
      </c>
      <c r="R34" s="22">
        <f t="shared" si="3"/>
        <v>172476.7441860465</v>
      </c>
    </row>
    <row r="35" spans="1:26" ht="15.75" customHeight="1" x14ac:dyDescent="0.35">
      <c r="A35" s="23" t="s">
        <v>132</v>
      </c>
      <c r="B35" s="34">
        <v>57</v>
      </c>
      <c r="C35" s="23" t="s">
        <v>64</v>
      </c>
      <c r="D35" s="23" t="s">
        <v>59</v>
      </c>
      <c r="E35" s="34">
        <v>80</v>
      </c>
      <c r="F35" s="34">
        <v>110</v>
      </c>
      <c r="G35" s="34">
        <v>92</v>
      </c>
      <c r="H35" s="34">
        <v>128</v>
      </c>
      <c r="I35" s="34">
        <v>57</v>
      </c>
      <c r="J35" s="35">
        <f t="shared" si="0"/>
        <v>93.4</v>
      </c>
      <c r="K35" s="36">
        <v>4.4747252747252748</v>
      </c>
      <c r="L35" s="34">
        <v>4</v>
      </c>
      <c r="M35" s="34">
        <v>1.8</v>
      </c>
      <c r="N35" s="34">
        <v>1</v>
      </c>
      <c r="O35" s="34">
        <v>1E-4</v>
      </c>
      <c r="P35" s="34">
        <f t="shared" si="1"/>
        <v>934000</v>
      </c>
      <c r="Q35" s="36">
        <f t="shared" si="2"/>
        <v>208727.89783889981</v>
      </c>
      <c r="R35" s="37">
        <f t="shared" si="3"/>
        <v>417455.79567779962</v>
      </c>
      <c r="S35" s="30"/>
      <c r="T35" s="30"/>
      <c r="U35" s="30"/>
      <c r="V35" s="30"/>
      <c r="W35" s="30"/>
      <c r="X35" s="30"/>
      <c r="Y35" s="30"/>
      <c r="Z35" s="30"/>
    </row>
    <row r="36" spans="1:26" ht="15.75" customHeight="1" x14ac:dyDescent="0.35">
      <c r="A36" s="12" t="s">
        <v>133</v>
      </c>
      <c r="B36" s="13">
        <v>78</v>
      </c>
      <c r="C36" s="13" t="s">
        <v>58</v>
      </c>
      <c r="D36" s="13" t="s">
        <v>59</v>
      </c>
      <c r="E36" s="2">
        <v>73</v>
      </c>
      <c r="F36" s="2">
        <v>118</v>
      </c>
      <c r="G36" s="2">
        <v>137</v>
      </c>
      <c r="H36" s="2">
        <v>145</v>
      </c>
      <c r="I36" s="2">
        <v>89</v>
      </c>
      <c r="J36" s="20">
        <f t="shared" si="0"/>
        <v>112.4</v>
      </c>
      <c r="K36" s="21">
        <v>2.512087912087912</v>
      </c>
      <c r="L36" s="2">
        <v>4</v>
      </c>
      <c r="M36" s="2">
        <v>1.8</v>
      </c>
      <c r="N36" s="2">
        <v>1</v>
      </c>
      <c r="O36" s="2">
        <v>1E-4</v>
      </c>
      <c r="P36" s="2">
        <f t="shared" si="1"/>
        <v>1124000</v>
      </c>
      <c r="Q36" s="9">
        <f t="shared" si="2"/>
        <v>447436.5704286964</v>
      </c>
      <c r="R36" s="22">
        <f t="shared" si="3"/>
        <v>894873.14085739281</v>
      </c>
    </row>
    <row r="37" spans="1:26" ht="15.75" customHeight="1" x14ac:dyDescent="0.35">
      <c r="A37" s="23" t="s">
        <v>133</v>
      </c>
      <c r="B37" s="34">
        <v>58</v>
      </c>
      <c r="C37" s="23" t="s">
        <v>64</v>
      </c>
      <c r="D37" s="23" t="s">
        <v>59</v>
      </c>
      <c r="E37" s="34">
        <v>90</v>
      </c>
      <c r="F37" s="34">
        <v>90</v>
      </c>
      <c r="G37" s="34">
        <v>130</v>
      </c>
      <c r="H37" s="34">
        <v>77</v>
      </c>
      <c r="I37" s="34">
        <v>97</v>
      </c>
      <c r="J37" s="35">
        <f t="shared" si="0"/>
        <v>96.8</v>
      </c>
      <c r="K37" s="36">
        <v>2.6901098901098903</v>
      </c>
      <c r="L37" s="34">
        <v>4</v>
      </c>
      <c r="M37" s="34">
        <v>1.8</v>
      </c>
      <c r="N37" s="34">
        <v>1</v>
      </c>
      <c r="O37" s="34">
        <v>1E-4</v>
      </c>
      <c r="P37" s="34">
        <f t="shared" si="1"/>
        <v>967999.99999999988</v>
      </c>
      <c r="Q37" s="36">
        <f t="shared" si="2"/>
        <v>359836.6013071895</v>
      </c>
      <c r="R37" s="37">
        <f t="shared" si="3"/>
        <v>719673.202614379</v>
      </c>
      <c r="S37" s="30"/>
      <c r="T37" s="30"/>
      <c r="U37" s="30"/>
      <c r="V37" s="30"/>
      <c r="W37" s="30"/>
      <c r="X37" s="30"/>
      <c r="Y37" s="30"/>
      <c r="Z37" s="30"/>
    </row>
    <row r="38" spans="1:26" ht="15.75" customHeight="1" x14ac:dyDescent="0.35">
      <c r="A38" s="12" t="s">
        <v>134</v>
      </c>
      <c r="B38" s="13">
        <v>79</v>
      </c>
      <c r="C38" s="13" t="s">
        <v>58</v>
      </c>
      <c r="D38" s="13" t="s">
        <v>59</v>
      </c>
      <c r="E38" s="2">
        <v>32</v>
      </c>
      <c r="F38" s="2">
        <v>35</v>
      </c>
      <c r="G38" s="2">
        <v>26</v>
      </c>
      <c r="H38" s="2">
        <v>24</v>
      </c>
      <c r="I38" s="2">
        <v>23</v>
      </c>
      <c r="J38" s="20">
        <f t="shared" si="0"/>
        <v>28</v>
      </c>
      <c r="K38" s="21">
        <v>2.3714285714285714</v>
      </c>
      <c r="L38" s="2">
        <v>4</v>
      </c>
      <c r="M38" s="2">
        <v>1.8</v>
      </c>
      <c r="N38" s="2">
        <v>1</v>
      </c>
      <c r="O38" s="2">
        <v>1E-4</v>
      </c>
      <c r="P38" s="2">
        <f t="shared" si="1"/>
        <v>280000</v>
      </c>
      <c r="Q38" s="9">
        <f t="shared" si="2"/>
        <v>118072.2891566265</v>
      </c>
      <c r="R38" s="22">
        <f t="shared" si="3"/>
        <v>236144.57831325301</v>
      </c>
    </row>
    <row r="39" spans="1:26" ht="15.75" customHeight="1" x14ac:dyDescent="0.35">
      <c r="A39" s="23" t="s">
        <v>134</v>
      </c>
      <c r="B39" s="34">
        <v>59</v>
      </c>
      <c r="C39" s="23" t="s">
        <v>64</v>
      </c>
      <c r="D39" s="23" t="s">
        <v>59</v>
      </c>
      <c r="E39" s="34">
        <v>36</v>
      </c>
      <c r="F39" s="34">
        <v>59</v>
      </c>
      <c r="G39" s="34">
        <v>39</v>
      </c>
      <c r="H39" s="34">
        <v>74</v>
      </c>
      <c r="I39" s="34">
        <v>89</v>
      </c>
      <c r="J39" s="35">
        <f t="shared" si="0"/>
        <v>59.4</v>
      </c>
      <c r="K39" s="36">
        <v>2.3626373626373627</v>
      </c>
      <c r="L39" s="34">
        <v>4</v>
      </c>
      <c r="M39" s="34">
        <v>1.8</v>
      </c>
      <c r="N39" s="34">
        <v>1</v>
      </c>
      <c r="O39" s="34">
        <v>1E-4</v>
      </c>
      <c r="P39" s="34">
        <f t="shared" si="1"/>
        <v>594000</v>
      </c>
      <c r="Q39" s="36">
        <f t="shared" si="2"/>
        <v>251413.95348837209</v>
      </c>
      <c r="R39" s="37">
        <f t="shared" si="3"/>
        <v>502827.90697674418</v>
      </c>
      <c r="S39" s="30"/>
      <c r="T39" s="30"/>
      <c r="U39" s="30"/>
      <c r="V39" s="30"/>
      <c r="W39" s="30"/>
      <c r="X39" s="30"/>
      <c r="Y39" s="30"/>
      <c r="Z39" s="30"/>
    </row>
    <row r="40" spans="1:26" ht="15.75" customHeight="1" x14ac:dyDescent="0.35">
      <c r="A40" s="12" t="s">
        <v>135</v>
      </c>
      <c r="B40" s="13">
        <v>80</v>
      </c>
      <c r="C40" s="13" t="s">
        <v>58</v>
      </c>
      <c r="D40" s="13" t="s">
        <v>59</v>
      </c>
      <c r="E40" s="2">
        <v>35</v>
      </c>
      <c r="F40" s="2">
        <v>31</v>
      </c>
      <c r="G40" s="2">
        <v>47</v>
      </c>
      <c r="H40" s="2">
        <v>44</v>
      </c>
      <c r="I40" s="2">
        <v>42</v>
      </c>
      <c r="J40" s="20">
        <f t="shared" si="0"/>
        <v>39.799999999999997</v>
      </c>
      <c r="K40" s="21">
        <v>2.430769230769231</v>
      </c>
      <c r="L40" s="2">
        <v>4</v>
      </c>
      <c r="M40" s="2">
        <v>1.8</v>
      </c>
      <c r="N40" s="2">
        <v>1</v>
      </c>
      <c r="O40" s="2">
        <v>1E-4</v>
      </c>
      <c r="P40" s="2">
        <f t="shared" si="1"/>
        <v>397999.99999999994</v>
      </c>
      <c r="Q40" s="9">
        <f t="shared" si="2"/>
        <v>163734.17721518982</v>
      </c>
      <c r="R40" s="22">
        <f t="shared" si="3"/>
        <v>327468.35443037964</v>
      </c>
    </row>
    <row r="41" spans="1:26" ht="15.75" customHeight="1" x14ac:dyDescent="0.35">
      <c r="A41" s="23" t="s">
        <v>135</v>
      </c>
      <c r="B41" s="34">
        <v>60</v>
      </c>
      <c r="C41" s="23" t="s">
        <v>64</v>
      </c>
      <c r="D41" s="23" t="s">
        <v>59</v>
      </c>
      <c r="E41" s="34">
        <v>38</v>
      </c>
      <c r="F41" s="34">
        <v>57</v>
      </c>
      <c r="G41" s="34">
        <v>48</v>
      </c>
      <c r="H41" s="34">
        <v>44</v>
      </c>
      <c r="I41" s="34">
        <v>39</v>
      </c>
      <c r="J41" s="35">
        <f t="shared" si="0"/>
        <v>45.2</v>
      </c>
      <c r="K41" s="36">
        <v>2.186813186813187</v>
      </c>
      <c r="L41" s="34">
        <v>4</v>
      </c>
      <c r="M41" s="34">
        <v>1.8</v>
      </c>
      <c r="N41" s="34">
        <v>1</v>
      </c>
      <c r="O41" s="34">
        <v>1E-4</v>
      </c>
      <c r="P41" s="34">
        <f t="shared" si="1"/>
        <v>452000</v>
      </c>
      <c r="Q41" s="36">
        <f t="shared" si="2"/>
        <v>206693.46733668339</v>
      </c>
      <c r="R41" s="36">
        <f t="shared" si="3"/>
        <v>413386.93467336678</v>
      </c>
      <c r="S41" s="30"/>
      <c r="T41" s="30"/>
      <c r="U41" s="30"/>
      <c r="V41" s="30"/>
      <c r="W41" s="30"/>
      <c r="X41" s="30"/>
      <c r="Y41" s="30"/>
      <c r="Z41" s="30"/>
    </row>
    <row r="42" spans="1:26" ht="15.75" customHeight="1" x14ac:dyDescent="0.35">
      <c r="A42" s="12" t="s">
        <v>136</v>
      </c>
      <c r="B42" s="13">
        <v>198</v>
      </c>
      <c r="C42" s="13" t="s">
        <v>58</v>
      </c>
      <c r="D42" s="13" t="s">
        <v>137</v>
      </c>
      <c r="E42" s="15">
        <v>83</v>
      </c>
      <c r="F42" s="15">
        <v>58</v>
      </c>
      <c r="G42" s="15">
        <v>100</v>
      </c>
      <c r="H42" s="15">
        <v>158</v>
      </c>
      <c r="I42" s="15">
        <v>264</v>
      </c>
      <c r="J42" s="71">
        <f t="shared" si="0"/>
        <v>132.6</v>
      </c>
      <c r="K42" s="21">
        <v>7.628571428571429</v>
      </c>
      <c r="L42" s="39">
        <v>4</v>
      </c>
      <c r="M42" s="39">
        <v>1.8</v>
      </c>
      <c r="N42" s="39">
        <v>1</v>
      </c>
      <c r="O42" s="39">
        <v>1E-4</v>
      </c>
      <c r="P42" s="39">
        <f t="shared" si="1"/>
        <v>1325999.9999999998</v>
      </c>
      <c r="Q42" s="72">
        <f t="shared" si="2"/>
        <v>173820.2247191011</v>
      </c>
      <c r="R42" s="72">
        <f t="shared" si="3"/>
        <v>347640.44943820219</v>
      </c>
    </row>
    <row r="43" spans="1:26" ht="15.75" customHeight="1" x14ac:dyDescent="0.35">
      <c r="A43" s="23" t="s">
        <v>136</v>
      </c>
      <c r="B43" s="34">
        <v>129</v>
      </c>
      <c r="C43" s="23" t="s">
        <v>64</v>
      </c>
      <c r="D43" s="23" t="s">
        <v>137</v>
      </c>
      <c r="E43" s="34">
        <v>40</v>
      </c>
      <c r="F43" s="34">
        <v>68</v>
      </c>
      <c r="G43" s="34">
        <v>80</v>
      </c>
      <c r="H43" s="34">
        <v>67</v>
      </c>
      <c r="I43" s="34">
        <v>56</v>
      </c>
      <c r="J43" s="35">
        <f t="shared" si="0"/>
        <v>62.2</v>
      </c>
      <c r="K43" s="36">
        <v>3.7978021978021981</v>
      </c>
      <c r="L43" s="34">
        <v>4</v>
      </c>
      <c r="M43" s="34">
        <v>1.8</v>
      </c>
      <c r="N43" s="34">
        <v>1</v>
      </c>
      <c r="O43" s="34">
        <v>1E-4</v>
      </c>
      <c r="P43" s="34">
        <f t="shared" si="1"/>
        <v>622000</v>
      </c>
      <c r="Q43" s="36">
        <f t="shared" si="2"/>
        <v>163778.93518518517</v>
      </c>
      <c r="R43" s="36">
        <f t="shared" si="3"/>
        <v>327557.87037037034</v>
      </c>
      <c r="S43" s="30"/>
      <c r="T43" s="30"/>
      <c r="U43" s="30"/>
      <c r="V43" s="30"/>
      <c r="W43" s="30"/>
      <c r="X43" s="30"/>
      <c r="Y43" s="30"/>
      <c r="Z43" s="30"/>
    </row>
    <row r="44" spans="1:26" ht="15.75" customHeight="1" x14ac:dyDescent="0.35">
      <c r="A44" s="12" t="s">
        <v>138</v>
      </c>
      <c r="B44" s="13">
        <v>200</v>
      </c>
      <c r="C44" s="13" t="s">
        <v>58</v>
      </c>
      <c r="D44" s="13" t="s">
        <v>137</v>
      </c>
      <c r="E44" s="15">
        <v>339</v>
      </c>
      <c r="F44" s="15">
        <v>218</v>
      </c>
      <c r="G44" s="15">
        <v>296</v>
      </c>
      <c r="H44" s="15">
        <v>250</v>
      </c>
      <c r="I44" s="15">
        <v>223</v>
      </c>
      <c r="J44" s="71">
        <f t="shared" si="0"/>
        <v>265.2</v>
      </c>
      <c r="K44" s="21">
        <v>7.1164835164835161</v>
      </c>
      <c r="L44" s="39">
        <v>4</v>
      </c>
      <c r="M44" s="39">
        <v>1.8</v>
      </c>
      <c r="N44" s="39">
        <v>1</v>
      </c>
      <c r="O44" s="39">
        <v>1E-4</v>
      </c>
      <c r="P44" s="39">
        <f t="shared" si="1"/>
        <v>2651999.9999999995</v>
      </c>
      <c r="Q44" s="72">
        <f t="shared" si="2"/>
        <v>372655.96046942554</v>
      </c>
      <c r="R44" s="72">
        <f t="shared" si="3"/>
        <v>745311.92093885108</v>
      </c>
    </row>
    <row r="45" spans="1:26" ht="15.75" customHeight="1" x14ac:dyDescent="0.35">
      <c r="A45" s="23" t="s">
        <v>138</v>
      </c>
      <c r="B45" s="34">
        <v>130</v>
      </c>
      <c r="C45" s="23" t="s">
        <v>64</v>
      </c>
      <c r="D45" s="23" t="s">
        <v>137</v>
      </c>
      <c r="E45" s="34">
        <v>34</v>
      </c>
      <c r="F45" s="34">
        <v>55</v>
      </c>
      <c r="G45" s="34">
        <v>196</v>
      </c>
      <c r="H45" s="34">
        <v>73</v>
      </c>
      <c r="I45" s="34">
        <v>118</v>
      </c>
      <c r="J45" s="35">
        <f t="shared" si="0"/>
        <v>95.2</v>
      </c>
      <c r="K45" s="36">
        <v>3.6549450549450553</v>
      </c>
      <c r="L45" s="34">
        <v>4</v>
      </c>
      <c r="M45" s="34">
        <v>1.8</v>
      </c>
      <c r="N45" s="34">
        <v>1</v>
      </c>
      <c r="O45" s="34">
        <v>1E-4</v>
      </c>
      <c r="P45" s="34">
        <f t="shared" si="1"/>
        <v>952000</v>
      </c>
      <c r="Q45" s="36">
        <f t="shared" si="2"/>
        <v>260469.03187011424</v>
      </c>
      <c r="R45" s="36">
        <f t="shared" si="3"/>
        <v>520938.06374022848</v>
      </c>
      <c r="S45" s="30"/>
      <c r="T45" s="30"/>
      <c r="U45" s="30"/>
      <c r="V45" s="30"/>
      <c r="W45" s="30"/>
      <c r="X45" s="30"/>
      <c r="Y45" s="30"/>
      <c r="Z45" s="30"/>
    </row>
    <row r="46" spans="1:26" ht="15.75" customHeight="1" x14ac:dyDescent="0.35">
      <c r="A46" s="12" t="s">
        <v>139</v>
      </c>
      <c r="B46" s="13">
        <v>197</v>
      </c>
      <c r="C46" s="13" t="s">
        <v>58</v>
      </c>
      <c r="D46" s="13" t="s">
        <v>137</v>
      </c>
      <c r="E46" s="15">
        <v>99</v>
      </c>
      <c r="F46" s="15">
        <v>188</v>
      </c>
      <c r="G46" s="15">
        <v>283</v>
      </c>
      <c r="H46" s="15">
        <v>260</v>
      </c>
      <c r="I46" s="15">
        <v>360</v>
      </c>
      <c r="J46" s="71">
        <f t="shared" si="0"/>
        <v>238</v>
      </c>
      <c r="K46" s="21">
        <v>6.6197802197802202</v>
      </c>
      <c r="L46" s="39">
        <v>4</v>
      </c>
      <c r="M46" s="39">
        <v>1.8</v>
      </c>
      <c r="N46" s="39">
        <v>1</v>
      </c>
      <c r="O46" s="39">
        <v>1E-4</v>
      </c>
      <c r="P46" s="39">
        <f t="shared" si="1"/>
        <v>2380000</v>
      </c>
      <c r="Q46" s="72">
        <f t="shared" si="2"/>
        <v>359528.5524568393</v>
      </c>
      <c r="R46" s="72">
        <f t="shared" si="3"/>
        <v>719057.1049136786</v>
      </c>
    </row>
    <row r="47" spans="1:26" ht="15.75" customHeight="1" x14ac:dyDescent="0.35">
      <c r="A47" s="23" t="s">
        <v>139</v>
      </c>
      <c r="B47" s="34">
        <v>131</v>
      </c>
      <c r="C47" s="23" t="s">
        <v>64</v>
      </c>
      <c r="D47" s="23" t="s">
        <v>137</v>
      </c>
      <c r="E47" s="34">
        <v>81</v>
      </c>
      <c r="F47" s="34">
        <v>154</v>
      </c>
      <c r="G47" s="34">
        <v>396</v>
      </c>
      <c r="H47" s="34">
        <v>269</v>
      </c>
      <c r="I47" s="34">
        <v>202</v>
      </c>
      <c r="J47" s="35">
        <f t="shared" si="0"/>
        <v>220.4</v>
      </c>
      <c r="K47" s="36">
        <v>3.918681318681319</v>
      </c>
      <c r="L47" s="34">
        <v>4</v>
      </c>
      <c r="M47" s="34">
        <v>1.8</v>
      </c>
      <c r="N47" s="34">
        <v>1</v>
      </c>
      <c r="O47" s="34">
        <v>1E-4</v>
      </c>
      <c r="P47" s="34">
        <f t="shared" si="1"/>
        <v>2204000</v>
      </c>
      <c r="Q47" s="36">
        <f t="shared" si="2"/>
        <v>562434.09983174421</v>
      </c>
      <c r="R47" s="36">
        <f t="shared" si="3"/>
        <v>1124868.1996634884</v>
      </c>
      <c r="S47" s="30"/>
      <c r="T47" s="30"/>
      <c r="U47" s="30"/>
      <c r="V47" s="30"/>
      <c r="W47" s="30"/>
      <c r="X47" s="30"/>
      <c r="Y47" s="30"/>
      <c r="Z47" s="30"/>
    </row>
    <row r="48" spans="1:26" ht="15.75" customHeight="1" x14ac:dyDescent="0.35">
      <c r="A48" s="12" t="s">
        <v>140</v>
      </c>
      <c r="B48" s="13">
        <v>192</v>
      </c>
      <c r="C48" s="13" t="s">
        <v>58</v>
      </c>
      <c r="D48" s="13" t="s">
        <v>137</v>
      </c>
      <c r="E48" s="15">
        <v>101</v>
      </c>
      <c r="F48" s="15">
        <v>89</v>
      </c>
      <c r="G48" s="15">
        <v>92</v>
      </c>
      <c r="H48" s="15">
        <v>92</v>
      </c>
      <c r="I48" s="15">
        <v>118</v>
      </c>
      <c r="J48" s="71">
        <f t="shared" si="0"/>
        <v>98.4</v>
      </c>
      <c r="K48" s="21">
        <v>3.5846153846153848</v>
      </c>
      <c r="L48" s="39">
        <v>4</v>
      </c>
      <c r="M48" s="39">
        <v>1.8</v>
      </c>
      <c r="N48" s="39">
        <v>1</v>
      </c>
      <c r="O48" s="39">
        <v>1E-4</v>
      </c>
      <c r="P48" s="39">
        <f t="shared" si="1"/>
        <v>984000</v>
      </c>
      <c r="Q48" s="72">
        <f t="shared" si="2"/>
        <v>274506.43776824034</v>
      </c>
      <c r="R48" s="72">
        <f t="shared" si="3"/>
        <v>549012.87553648069</v>
      </c>
    </row>
    <row r="49" spans="1:26" ht="15.75" customHeight="1" x14ac:dyDescent="0.35">
      <c r="A49" s="23" t="s">
        <v>140</v>
      </c>
      <c r="B49" s="34">
        <v>132</v>
      </c>
      <c r="C49" s="23" t="s">
        <v>64</v>
      </c>
      <c r="D49" s="23" t="s">
        <v>137</v>
      </c>
      <c r="E49" s="34">
        <v>38</v>
      </c>
      <c r="F49" s="34">
        <v>43</v>
      </c>
      <c r="G49" s="34">
        <v>223</v>
      </c>
      <c r="H49" s="34">
        <v>127</v>
      </c>
      <c r="I49" s="34">
        <v>211</v>
      </c>
      <c r="J49" s="35">
        <f t="shared" si="0"/>
        <v>128.4</v>
      </c>
      <c r="K49" s="36">
        <v>3.4527472527472534</v>
      </c>
      <c r="L49" s="34">
        <v>4</v>
      </c>
      <c r="M49" s="34">
        <v>1.8</v>
      </c>
      <c r="N49" s="34">
        <v>1</v>
      </c>
      <c r="O49" s="34">
        <v>1E-4</v>
      </c>
      <c r="P49" s="34">
        <f t="shared" si="1"/>
        <v>1284000</v>
      </c>
      <c r="Q49" s="36">
        <f t="shared" si="2"/>
        <v>371877.78485041368</v>
      </c>
      <c r="R49" s="36">
        <f t="shared" si="3"/>
        <v>743755.56970082736</v>
      </c>
      <c r="S49" s="30"/>
      <c r="T49" s="30"/>
      <c r="U49" s="30"/>
      <c r="V49" s="30"/>
      <c r="W49" s="30"/>
      <c r="X49" s="30"/>
      <c r="Y49" s="30"/>
      <c r="Z49" s="30"/>
    </row>
    <row r="50" spans="1:26" ht="15.75" customHeight="1" x14ac:dyDescent="0.35">
      <c r="A50" s="12" t="s">
        <v>141</v>
      </c>
      <c r="B50" s="13">
        <v>193</v>
      </c>
      <c r="C50" s="13" t="s">
        <v>58</v>
      </c>
      <c r="D50" s="13" t="s">
        <v>137</v>
      </c>
      <c r="E50" s="15">
        <v>63</v>
      </c>
      <c r="F50" s="15">
        <v>61</v>
      </c>
      <c r="G50" s="15">
        <v>29</v>
      </c>
      <c r="H50" s="15">
        <v>41</v>
      </c>
      <c r="I50" s="15">
        <v>57</v>
      </c>
      <c r="J50" s="71">
        <f t="shared" si="0"/>
        <v>50.2</v>
      </c>
      <c r="K50" s="21">
        <v>3.3736263736263736</v>
      </c>
      <c r="L50" s="39">
        <v>4</v>
      </c>
      <c r="M50" s="39">
        <v>1.8</v>
      </c>
      <c r="N50" s="39">
        <v>1</v>
      </c>
      <c r="O50" s="39">
        <v>1E-4</v>
      </c>
      <c r="P50" s="39">
        <f t="shared" si="1"/>
        <v>502000</v>
      </c>
      <c r="Q50" s="72">
        <f t="shared" si="2"/>
        <v>148801.30293159609</v>
      </c>
      <c r="R50" s="72">
        <f t="shared" si="3"/>
        <v>297602.60586319218</v>
      </c>
    </row>
    <row r="51" spans="1:26" ht="15.75" customHeight="1" x14ac:dyDescent="0.35">
      <c r="A51" s="23" t="s">
        <v>141</v>
      </c>
      <c r="B51" s="34">
        <v>133</v>
      </c>
      <c r="C51" s="23" t="s">
        <v>64</v>
      </c>
      <c r="D51" s="23" t="s">
        <v>137</v>
      </c>
      <c r="E51" s="34">
        <v>175</v>
      </c>
      <c r="F51" s="34">
        <v>160</v>
      </c>
      <c r="G51" s="34">
        <v>67</v>
      </c>
      <c r="H51" s="34">
        <v>87</v>
      </c>
      <c r="I51" s="34">
        <v>96</v>
      </c>
      <c r="J51" s="35">
        <f t="shared" si="0"/>
        <v>117</v>
      </c>
      <c r="K51" s="36">
        <v>3.564835164835165</v>
      </c>
      <c r="L51" s="34">
        <v>4</v>
      </c>
      <c r="M51" s="34">
        <v>1.8</v>
      </c>
      <c r="N51" s="34">
        <v>1</v>
      </c>
      <c r="O51" s="34">
        <v>1E-4</v>
      </c>
      <c r="P51" s="34">
        <f t="shared" si="1"/>
        <v>1170000</v>
      </c>
      <c r="Q51" s="36">
        <f t="shared" si="2"/>
        <v>328205.91861898889</v>
      </c>
      <c r="R51" s="36">
        <f t="shared" si="3"/>
        <v>656411.83723797777</v>
      </c>
      <c r="S51" s="30"/>
      <c r="T51" s="30"/>
      <c r="U51" s="30"/>
      <c r="V51" s="30"/>
      <c r="W51" s="30"/>
      <c r="X51" s="30"/>
      <c r="Y51" s="30"/>
      <c r="Z51" s="30"/>
    </row>
    <row r="52" spans="1:26" ht="15.75" customHeight="1" x14ac:dyDescent="0.35">
      <c r="A52" s="12" t="s">
        <v>142</v>
      </c>
      <c r="B52" s="13">
        <v>194</v>
      </c>
      <c r="C52" s="13" t="s">
        <v>58</v>
      </c>
      <c r="D52" s="13" t="s">
        <v>137</v>
      </c>
      <c r="E52" s="15">
        <v>178</v>
      </c>
      <c r="F52" s="15">
        <v>186</v>
      </c>
      <c r="G52" s="15">
        <v>336</v>
      </c>
      <c r="H52" s="15">
        <v>279</v>
      </c>
      <c r="I52" s="15">
        <v>206</v>
      </c>
      <c r="J52" s="71">
        <f t="shared" si="0"/>
        <v>237</v>
      </c>
      <c r="K52" s="21">
        <v>3.8879120879120879</v>
      </c>
      <c r="L52" s="39">
        <v>4</v>
      </c>
      <c r="M52" s="39">
        <v>1.8</v>
      </c>
      <c r="N52" s="39">
        <v>1</v>
      </c>
      <c r="O52" s="39">
        <v>1E-4</v>
      </c>
      <c r="P52" s="39">
        <f t="shared" si="1"/>
        <v>2370000</v>
      </c>
      <c r="Q52" s="72">
        <f t="shared" si="2"/>
        <v>609581.68456755229</v>
      </c>
      <c r="R52" s="72">
        <f t="shared" si="3"/>
        <v>1219163.3691351046</v>
      </c>
    </row>
    <row r="53" spans="1:26" ht="15.75" customHeight="1" x14ac:dyDescent="0.35">
      <c r="A53" s="23" t="s">
        <v>142</v>
      </c>
      <c r="B53" s="34">
        <v>134</v>
      </c>
      <c r="C53" s="23" t="s">
        <v>64</v>
      </c>
      <c r="D53" s="23" t="s">
        <v>137</v>
      </c>
      <c r="E53" s="34">
        <v>28</v>
      </c>
      <c r="F53" s="34">
        <v>78</v>
      </c>
      <c r="G53" s="34">
        <v>232</v>
      </c>
      <c r="H53" s="34">
        <v>213</v>
      </c>
      <c r="I53" s="34">
        <v>87</v>
      </c>
      <c r="J53" s="35">
        <f t="shared" si="0"/>
        <v>127.6</v>
      </c>
      <c r="K53" s="36">
        <v>3.3032967032967031</v>
      </c>
      <c r="L53" s="34">
        <v>4</v>
      </c>
      <c r="M53" s="34">
        <v>1.8</v>
      </c>
      <c r="N53" s="34">
        <v>1</v>
      </c>
      <c r="O53" s="34">
        <v>1E-4</v>
      </c>
      <c r="P53" s="34">
        <f t="shared" si="1"/>
        <v>1275999.9999999998</v>
      </c>
      <c r="Q53" s="36">
        <f t="shared" si="2"/>
        <v>386280.77178975375</v>
      </c>
      <c r="R53" s="36">
        <f t="shared" si="3"/>
        <v>772561.5435795075</v>
      </c>
      <c r="S53" s="30"/>
      <c r="T53" s="30"/>
      <c r="U53" s="30"/>
      <c r="V53" s="30"/>
      <c r="W53" s="30"/>
      <c r="X53" s="30"/>
      <c r="Y53" s="30"/>
      <c r="Z53" s="30"/>
    </row>
    <row r="54" spans="1:26" ht="15.75" customHeight="1" x14ac:dyDescent="0.35">
      <c r="A54" s="12" t="s">
        <v>143</v>
      </c>
      <c r="B54" s="13">
        <v>195</v>
      </c>
      <c r="C54" s="13" t="s">
        <v>58</v>
      </c>
      <c r="D54" s="13" t="s">
        <v>137</v>
      </c>
      <c r="E54" s="15">
        <v>232</v>
      </c>
      <c r="F54" s="15">
        <v>237</v>
      </c>
      <c r="G54" s="15">
        <v>251</v>
      </c>
      <c r="H54" s="15">
        <v>446</v>
      </c>
      <c r="I54" s="15">
        <v>409</v>
      </c>
      <c r="J54" s="71">
        <f t="shared" si="0"/>
        <v>315</v>
      </c>
      <c r="K54" s="21">
        <v>4.9384615384615387</v>
      </c>
      <c r="L54" s="39">
        <v>4</v>
      </c>
      <c r="M54" s="39">
        <v>1.8</v>
      </c>
      <c r="N54" s="39">
        <v>1</v>
      </c>
      <c r="O54" s="39">
        <v>1E-4</v>
      </c>
      <c r="P54" s="39">
        <f t="shared" si="1"/>
        <v>3150000</v>
      </c>
      <c r="Q54" s="72">
        <f t="shared" si="2"/>
        <v>637850.46728971961</v>
      </c>
      <c r="R54" s="72">
        <f t="shared" si="3"/>
        <v>1275700.9345794392</v>
      </c>
    </row>
    <row r="55" spans="1:26" ht="15.75" customHeight="1" x14ac:dyDescent="0.35">
      <c r="A55" s="23" t="s">
        <v>143</v>
      </c>
      <c r="B55" s="34">
        <v>135</v>
      </c>
      <c r="C55" s="23" t="s">
        <v>64</v>
      </c>
      <c r="D55" s="23" t="s">
        <v>137</v>
      </c>
      <c r="E55" s="34">
        <v>65</v>
      </c>
      <c r="F55" s="34">
        <v>102</v>
      </c>
      <c r="G55" s="34">
        <v>84</v>
      </c>
      <c r="H55" s="34">
        <v>105</v>
      </c>
      <c r="I55" s="34">
        <v>81</v>
      </c>
      <c r="J55" s="35">
        <f t="shared" si="0"/>
        <v>87.4</v>
      </c>
      <c r="K55" s="36">
        <v>4.4043956043956047</v>
      </c>
      <c r="L55" s="34">
        <v>4</v>
      </c>
      <c r="M55" s="34">
        <v>1.8</v>
      </c>
      <c r="N55" s="34">
        <v>1</v>
      </c>
      <c r="O55" s="34">
        <v>1E-4</v>
      </c>
      <c r="P55" s="34">
        <f t="shared" si="1"/>
        <v>874000</v>
      </c>
      <c r="Q55" s="36">
        <f t="shared" si="2"/>
        <v>198438.12375249498</v>
      </c>
      <c r="R55" s="36">
        <f t="shared" si="3"/>
        <v>396876.24750498997</v>
      </c>
      <c r="S55" s="30"/>
      <c r="T55" s="30"/>
      <c r="U55" s="30"/>
      <c r="V55" s="30"/>
      <c r="W55" s="30"/>
      <c r="X55" s="30"/>
      <c r="Y55" s="30"/>
      <c r="Z55" s="30"/>
    </row>
    <row r="56" spans="1:26" ht="15.75" customHeight="1" x14ac:dyDescent="0.35">
      <c r="A56" s="12" t="s">
        <v>144</v>
      </c>
      <c r="B56" s="13">
        <v>196</v>
      </c>
      <c r="C56" s="13" t="s">
        <v>58</v>
      </c>
      <c r="D56" s="13" t="s">
        <v>137</v>
      </c>
      <c r="E56" s="15">
        <v>259</v>
      </c>
      <c r="F56" s="15">
        <v>63</v>
      </c>
      <c r="G56" s="15">
        <v>131</v>
      </c>
      <c r="H56" s="15">
        <v>203</v>
      </c>
      <c r="I56" s="15">
        <v>314</v>
      </c>
      <c r="J56" s="71">
        <f t="shared" si="0"/>
        <v>194</v>
      </c>
      <c r="K56" s="21">
        <v>6.6065934065934062</v>
      </c>
      <c r="L56" s="39">
        <v>4</v>
      </c>
      <c r="M56" s="39">
        <v>1.8</v>
      </c>
      <c r="N56" s="39">
        <v>1</v>
      </c>
      <c r="O56" s="39">
        <v>1E-4</v>
      </c>
      <c r="P56" s="39">
        <f t="shared" si="1"/>
        <v>1940000</v>
      </c>
      <c r="Q56" s="72">
        <f t="shared" si="2"/>
        <v>293646.04125083168</v>
      </c>
      <c r="R56" s="72">
        <f t="shared" si="3"/>
        <v>587292.08250166336</v>
      </c>
    </row>
    <row r="57" spans="1:26" ht="15.75" customHeight="1" x14ac:dyDescent="0.35">
      <c r="A57" s="23" t="s">
        <v>144</v>
      </c>
      <c r="B57" s="34">
        <v>136</v>
      </c>
      <c r="C57" s="23" t="s">
        <v>64</v>
      </c>
      <c r="D57" s="23" t="s">
        <v>137</v>
      </c>
      <c r="E57" s="34">
        <v>126</v>
      </c>
      <c r="F57" s="34">
        <v>114</v>
      </c>
      <c r="G57" s="34">
        <v>205</v>
      </c>
      <c r="H57" s="34">
        <v>147</v>
      </c>
      <c r="I57" s="34">
        <v>155</v>
      </c>
      <c r="J57" s="35">
        <f t="shared" si="0"/>
        <v>149.4</v>
      </c>
      <c r="K57" s="36">
        <v>4.1230769230769226</v>
      </c>
      <c r="L57" s="34">
        <v>4</v>
      </c>
      <c r="M57" s="34">
        <v>1.8</v>
      </c>
      <c r="N57" s="34">
        <v>1</v>
      </c>
      <c r="O57" s="34">
        <v>1E-4</v>
      </c>
      <c r="P57" s="34">
        <f t="shared" si="1"/>
        <v>1494000</v>
      </c>
      <c r="Q57" s="36">
        <f t="shared" si="2"/>
        <v>362350.74626865675</v>
      </c>
      <c r="R57" s="36">
        <f t="shared" si="3"/>
        <v>724701.49253731349</v>
      </c>
      <c r="S57" s="30"/>
      <c r="T57" s="30"/>
      <c r="U57" s="30"/>
      <c r="V57" s="30"/>
      <c r="W57" s="30"/>
      <c r="X57" s="30"/>
      <c r="Y57" s="30"/>
      <c r="Z57" s="30"/>
    </row>
    <row r="58" spans="1:26" ht="15.75" customHeight="1" x14ac:dyDescent="0.35">
      <c r="A58" s="12" t="s">
        <v>145</v>
      </c>
      <c r="B58" s="13">
        <v>199</v>
      </c>
      <c r="C58" s="13" t="s">
        <v>58</v>
      </c>
      <c r="D58" s="13" t="s">
        <v>137</v>
      </c>
      <c r="E58" s="15">
        <v>82</v>
      </c>
      <c r="F58" s="15">
        <v>114</v>
      </c>
      <c r="G58" s="15">
        <v>163</v>
      </c>
      <c r="H58" s="15">
        <v>233</v>
      </c>
      <c r="I58" s="15">
        <v>487</v>
      </c>
      <c r="J58" s="71">
        <f t="shared" si="0"/>
        <v>215.8</v>
      </c>
      <c r="K58" s="21">
        <v>6.325274725274725</v>
      </c>
      <c r="L58" s="39">
        <v>4</v>
      </c>
      <c r="M58" s="39">
        <v>1.8</v>
      </c>
      <c r="N58" s="39">
        <v>1</v>
      </c>
      <c r="O58" s="39">
        <v>1E-4</v>
      </c>
      <c r="P58" s="39">
        <f t="shared" si="1"/>
        <v>2158000</v>
      </c>
      <c r="Q58" s="72">
        <f t="shared" si="2"/>
        <v>341170.95205003477</v>
      </c>
      <c r="R58" s="72">
        <f t="shared" si="3"/>
        <v>682341.90410006954</v>
      </c>
    </row>
    <row r="59" spans="1:26" ht="15.75" customHeight="1" x14ac:dyDescent="0.35">
      <c r="A59" s="23" t="s">
        <v>145</v>
      </c>
      <c r="B59" s="34">
        <v>137</v>
      </c>
      <c r="C59" s="23" t="s">
        <v>64</v>
      </c>
      <c r="D59" s="23" t="s">
        <v>137</v>
      </c>
      <c r="E59" s="34">
        <v>140</v>
      </c>
      <c r="F59" s="34">
        <v>75</v>
      </c>
      <c r="G59" s="34">
        <v>419</v>
      </c>
      <c r="H59" s="34">
        <v>680</v>
      </c>
      <c r="I59" s="34">
        <v>902</v>
      </c>
      <c r="J59" s="35">
        <f t="shared" si="0"/>
        <v>443.2</v>
      </c>
      <c r="K59" s="36">
        <v>5.3824175824175828</v>
      </c>
      <c r="L59" s="34">
        <v>4</v>
      </c>
      <c r="M59" s="34">
        <v>1.8</v>
      </c>
      <c r="N59" s="34">
        <v>1</v>
      </c>
      <c r="O59" s="34">
        <v>1E-4</v>
      </c>
      <c r="P59" s="34">
        <f t="shared" si="1"/>
        <v>4432000</v>
      </c>
      <c r="Q59" s="36">
        <f t="shared" si="2"/>
        <v>823421.80481829308</v>
      </c>
      <c r="R59" s="36">
        <f t="shared" si="3"/>
        <v>1646843.6096365862</v>
      </c>
      <c r="S59" s="30"/>
      <c r="T59" s="30"/>
      <c r="U59" s="30"/>
      <c r="V59" s="30"/>
      <c r="W59" s="30"/>
      <c r="X59" s="30"/>
      <c r="Y59" s="30"/>
      <c r="Z59" s="30"/>
    </row>
    <row r="60" spans="1:26" ht="15.75" customHeight="1" x14ac:dyDescent="0.35">
      <c r="A60" s="12" t="s">
        <v>146</v>
      </c>
      <c r="B60" s="13">
        <v>201</v>
      </c>
      <c r="C60" s="13" t="s">
        <v>58</v>
      </c>
      <c r="D60" s="13" t="s">
        <v>137</v>
      </c>
      <c r="E60" s="15">
        <v>248</v>
      </c>
      <c r="F60" s="15">
        <v>233</v>
      </c>
      <c r="G60" s="15">
        <v>262</v>
      </c>
      <c r="H60" s="15">
        <v>261</v>
      </c>
      <c r="I60" s="15">
        <v>206</v>
      </c>
      <c r="J60" s="71">
        <f t="shared" si="0"/>
        <v>242</v>
      </c>
      <c r="K60" s="21">
        <v>7.0087912087912096</v>
      </c>
      <c r="L60" s="39">
        <v>4</v>
      </c>
      <c r="M60" s="39">
        <v>1.8</v>
      </c>
      <c r="N60" s="39">
        <v>1</v>
      </c>
      <c r="O60" s="39">
        <v>1E-4</v>
      </c>
      <c r="P60" s="39">
        <f t="shared" si="1"/>
        <v>2420000</v>
      </c>
      <c r="Q60" s="72">
        <f t="shared" si="2"/>
        <v>345280.65224208211</v>
      </c>
      <c r="R60" s="72">
        <f t="shared" si="3"/>
        <v>690561.30448416423</v>
      </c>
    </row>
    <row r="61" spans="1:26" ht="15.75" customHeight="1" x14ac:dyDescent="0.35">
      <c r="A61" s="23" t="s">
        <v>146</v>
      </c>
      <c r="B61" s="34">
        <v>138</v>
      </c>
      <c r="C61" s="23" t="s">
        <v>64</v>
      </c>
      <c r="D61" s="23" t="s">
        <v>137</v>
      </c>
      <c r="E61" s="34">
        <v>149</v>
      </c>
      <c r="F61" s="34">
        <v>184</v>
      </c>
      <c r="G61" s="34">
        <v>83</v>
      </c>
      <c r="H61" s="34">
        <v>181</v>
      </c>
      <c r="I61" s="34">
        <v>168</v>
      </c>
      <c r="J61" s="35">
        <f t="shared" si="0"/>
        <v>153</v>
      </c>
      <c r="K61" s="36">
        <v>3.4109890109890113</v>
      </c>
      <c r="L61" s="34">
        <v>4</v>
      </c>
      <c r="M61" s="34">
        <v>1.8</v>
      </c>
      <c r="N61" s="34">
        <v>1</v>
      </c>
      <c r="O61" s="34">
        <v>1E-4</v>
      </c>
      <c r="P61" s="34">
        <f t="shared" si="1"/>
        <v>1530000</v>
      </c>
      <c r="Q61" s="36">
        <f t="shared" si="2"/>
        <v>448550.2577319587</v>
      </c>
      <c r="R61" s="36">
        <f t="shared" si="3"/>
        <v>897100.5154639174</v>
      </c>
      <c r="S61" s="30"/>
      <c r="T61" s="30"/>
      <c r="U61" s="30"/>
      <c r="V61" s="30"/>
      <c r="W61" s="30"/>
      <c r="X61" s="30"/>
      <c r="Y61" s="30"/>
      <c r="Z61" s="30"/>
    </row>
    <row r="62" spans="1:26" ht="15.75" customHeight="1" x14ac:dyDescent="0.35">
      <c r="A62" s="12" t="s">
        <v>147</v>
      </c>
      <c r="B62" s="13">
        <v>205</v>
      </c>
      <c r="C62" s="13" t="s">
        <v>58</v>
      </c>
      <c r="D62" s="13" t="s">
        <v>137</v>
      </c>
      <c r="E62" s="15">
        <v>94</v>
      </c>
      <c r="F62" s="15">
        <v>77</v>
      </c>
      <c r="G62" s="15">
        <v>110</v>
      </c>
      <c r="H62" s="15">
        <v>78</v>
      </c>
      <c r="I62" s="15">
        <v>81</v>
      </c>
      <c r="J62" s="71">
        <f t="shared" si="0"/>
        <v>88</v>
      </c>
      <c r="K62" s="21">
        <v>3.3450549450549452</v>
      </c>
      <c r="L62" s="39">
        <v>4</v>
      </c>
      <c r="M62" s="39">
        <v>1.8</v>
      </c>
      <c r="N62" s="39">
        <v>1</v>
      </c>
      <c r="O62" s="39">
        <v>1E-4</v>
      </c>
      <c r="P62" s="39">
        <f t="shared" si="1"/>
        <v>880000</v>
      </c>
      <c r="Q62" s="72">
        <f t="shared" si="2"/>
        <v>263074.9014454665</v>
      </c>
      <c r="R62" s="72">
        <f t="shared" si="3"/>
        <v>526149.802890933</v>
      </c>
    </row>
    <row r="63" spans="1:26" ht="15.75" customHeight="1" x14ac:dyDescent="0.35">
      <c r="A63" s="23" t="s">
        <v>147</v>
      </c>
      <c r="B63" s="34">
        <v>139</v>
      </c>
      <c r="C63" s="23" t="s">
        <v>64</v>
      </c>
      <c r="D63" s="23" t="s">
        <v>137</v>
      </c>
      <c r="E63" s="34">
        <v>41</v>
      </c>
      <c r="F63" s="34">
        <v>52</v>
      </c>
      <c r="G63" s="34">
        <v>62</v>
      </c>
      <c r="H63" s="34">
        <v>59</v>
      </c>
      <c r="I63" s="34">
        <v>54</v>
      </c>
      <c r="J63" s="35">
        <f t="shared" si="0"/>
        <v>53.6</v>
      </c>
      <c r="K63" s="36">
        <v>3.8989010989010993</v>
      </c>
      <c r="L63" s="34">
        <v>4</v>
      </c>
      <c r="M63" s="34">
        <v>1.8</v>
      </c>
      <c r="N63" s="34">
        <v>1</v>
      </c>
      <c r="O63" s="34">
        <v>1E-4</v>
      </c>
      <c r="P63" s="34">
        <f t="shared" si="1"/>
        <v>536000</v>
      </c>
      <c r="Q63" s="36">
        <f t="shared" si="2"/>
        <v>137474.63359639232</v>
      </c>
      <c r="R63" s="36">
        <f t="shared" si="3"/>
        <v>274949.26719278464</v>
      </c>
      <c r="S63" s="30"/>
      <c r="T63" s="30"/>
      <c r="U63" s="30"/>
      <c r="V63" s="30"/>
      <c r="W63" s="30"/>
      <c r="X63" s="30"/>
      <c r="Y63" s="30"/>
      <c r="Z63" s="30"/>
    </row>
    <row r="64" spans="1:26" ht="15.75" customHeight="1" x14ac:dyDescent="0.35">
      <c r="A64" s="12" t="s">
        <v>148</v>
      </c>
      <c r="B64" s="13">
        <v>202</v>
      </c>
      <c r="C64" s="13" t="s">
        <v>58</v>
      </c>
      <c r="D64" s="13" t="s">
        <v>137</v>
      </c>
      <c r="E64" s="15">
        <v>134</v>
      </c>
      <c r="F64" s="15">
        <v>207</v>
      </c>
      <c r="G64" s="15">
        <v>231</v>
      </c>
      <c r="H64" s="15">
        <v>202</v>
      </c>
      <c r="I64" s="15">
        <v>108</v>
      </c>
      <c r="J64" s="71">
        <f t="shared" si="0"/>
        <v>176.4</v>
      </c>
      <c r="K64" s="21">
        <v>4.0659340659340657</v>
      </c>
      <c r="L64" s="39">
        <v>4</v>
      </c>
      <c r="M64" s="39">
        <v>1.8</v>
      </c>
      <c r="N64" s="39">
        <v>1</v>
      </c>
      <c r="O64" s="39">
        <v>1E-4</v>
      </c>
      <c r="P64" s="39">
        <f t="shared" si="1"/>
        <v>1764000</v>
      </c>
      <c r="Q64" s="72">
        <f t="shared" si="2"/>
        <v>433848.6486486487</v>
      </c>
      <c r="R64" s="72">
        <f t="shared" si="3"/>
        <v>867697.29729729739</v>
      </c>
    </row>
    <row r="65" spans="1:26" ht="15.75" customHeight="1" x14ac:dyDescent="0.35">
      <c r="A65" s="23" t="s">
        <v>148</v>
      </c>
      <c r="B65" s="34">
        <v>140</v>
      </c>
      <c r="C65" s="23" t="s">
        <v>64</v>
      </c>
      <c r="D65" s="23" t="s">
        <v>137</v>
      </c>
      <c r="E65" s="34">
        <v>48</v>
      </c>
      <c r="F65" s="34">
        <v>40</v>
      </c>
      <c r="G65" s="34">
        <v>36</v>
      </c>
      <c r="H65" s="34">
        <v>34</v>
      </c>
      <c r="I65" s="34">
        <v>30</v>
      </c>
      <c r="J65" s="35">
        <f t="shared" si="0"/>
        <v>37.6</v>
      </c>
      <c r="K65" s="36">
        <v>3.424175824175824</v>
      </c>
      <c r="L65" s="34">
        <v>4</v>
      </c>
      <c r="M65" s="34">
        <v>1.8</v>
      </c>
      <c r="N65" s="34">
        <v>1</v>
      </c>
      <c r="O65" s="34">
        <v>1E-4</v>
      </c>
      <c r="P65" s="34">
        <f t="shared" si="1"/>
        <v>376000</v>
      </c>
      <c r="Q65" s="36">
        <f t="shared" si="2"/>
        <v>109807.44544287548</v>
      </c>
      <c r="R65" s="36">
        <f t="shared" si="3"/>
        <v>219614.89088575097</v>
      </c>
      <c r="S65" s="30"/>
      <c r="T65" s="30"/>
      <c r="U65" s="30"/>
      <c r="V65" s="30"/>
      <c r="W65" s="30"/>
      <c r="X65" s="30"/>
      <c r="Y65" s="30"/>
      <c r="Z65" s="30"/>
    </row>
    <row r="66" spans="1:26" ht="15.75" customHeight="1" x14ac:dyDescent="0.35">
      <c r="A66" s="12" t="s">
        <v>149</v>
      </c>
      <c r="B66" s="13">
        <v>203</v>
      </c>
      <c r="C66" s="13" t="s">
        <v>58</v>
      </c>
      <c r="D66" s="13" t="s">
        <v>137</v>
      </c>
      <c r="E66" s="15">
        <v>243</v>
      </c>
      <c r="F66" s="15">
        <v>228</v>
      </c>
      <c r="G66" s="15">
        <v>179</v>
      </c>
      <c r="H66" s="15">
        <v>210</v>
      </c>
      <c r="I66" s="15">
        <v>195</v>
      </c>
      <c r="J66" s="71">
        <f t="shared" si="0"/>
        <v>211</v>
      </c>
      <c r="K66" s="21">
        <v>3.4000000000000004</v>
      </c>
      <c r="L66" s="39">
        <v>4</v>
      </c>
      <c r="M66" s="39">
        <v>1.8</v>
      </c>
      <c r="N66" s="39">
        <v>1</v>
      </c>
      <c r="O66" s="39">
        <v>1E-4</v>
      </c>
      <c r="P66" s="39">
        <f t="shared" si="1"/>
        <v>2110000</v>
      </c>
      <c r="Q66" s="72">
        <f t="shared" si="2"/>
        <v>620588.23529411759</v>
      </c>
      <c r="R66" s="72">
        <f t="shared" si="3"/>
        <v>1241176.4705882352</v>
      </c>
    </row>
    <row r="67" spans="1:26" ht="15.75" customHeight="1" x14ac:dyDescent="0.35">
      <c r="A67" s="23" t="s">
        <v>149</v>
      </c>
      <c r="B67" s="34">
        <v>141</v>
      </c>
      <c r="C67" s="23" t="s">
        <v>64</v>
      </c>
      <c r="D67" s="23" t="s">
        <v>137</v>
      </c>
      <c r="E67" s="34">
        <v>34</v>
      </c>
      <c r="F67" s="34">
        <v>40</v>
      </c>
      <c r="G67" s="34">
        <v>32</v>
      </c>
      <c r="H67" s="34">
        <v>34</v>
      </c>
      <c r="I67" s="34">
        <v>37</v>
      </c>
      <c r="J67" s="35">
        <f t="shared" si="0"/>
        <v>35.4</v>
      </c>
      <c r="K67" s="36">
        <v>3.3538461538461544</v>
      </c>
      <c r="L67" s="34">
        <v>4</v>
      </c>
      <c r="M67" s="34">
        <v>1.8</v>
      </c>
      <c r="N67" s="34">
        <v>1</v>
      </c>
      <c r="O67" s="34">
        <v>1E-4</v>
      </c>
      <c r="P67" s="34">
        <f t="shared" si="1"/>
        <v>353999.99999999994</v>
      </c>
      <c r="Q67" s="36">
        <f t="shared" si="2"/>
        <v>105550.45871559629</v>
      </c>
      <c r="R67" s="36">
        <f t="shared" si="3"/>
        <v>211100.91743119259</v>
      </c>
      <c r="S67" s="30"/>
      <c r="T67" s="30"/>
      <c r="U67" s="30"/>
      <c r="V67" s="30"/>
      <c r="W67" s="30"/>
      <c r="X67" s="30"/>
      <c r="Y67" s="30"/>
      <c r="Z67" s="30"/>
    </row>
    <row r="68" spans="1:26" ht="15.75" customHeight="1" x14ac:dyDescent="0.35">
      <c r="A68" s="12" t="s">
        <v>150</v>
      </c>
      <c r="B68" s="13">
        <v>187</v>
      </c>
      <c r="C68" s="13" t="s">
        <v>58</v>
      </c>
      <c r="D68" s="13" t="s">
        <v>137</v>
      </c>
      <c r="E68" s="15">
        <v>37</v>
      </c>
      <c r="F68" s="15">
        <v>30</v>
      </c>
      <c r="G68" s="15">
        <v>26</v>
      </c>
      <c r="H68" s="15">
        <v>10</v>
      </c>
      <c r="I68" s="15">
        <v>22</v>
      </c>
      <c r="J68" s="71">
        <f t="shared" si="0"/>
        <v>25</v>
      </c>
      <c r="K68" s="21">
        <v>2.8131868131868134</v>
      </c>
      <c r="L68" s="39">
        <v>4</v>
      </c>
      <c r="M68" s="39">
        <v>1.8</v>
      </c>
      <c r="N68" s="39">
        <v>1</v>
      </c>
      <c r="O68" s="39">
        <v>1E-4</v>
      </c>
      <c r="P68" s="39">
        <f t="shared" si="1"/>
        <v>250000</v>
      </c>
      <c r="Q68" s="72">
        <f t="shared" si="2"/>
        <v>88867.1875</v>
      </c>
      <c r="R68" s="72">
        <f t="shared" si="3"/>
        <v>177734.375</v>
      </c>
    </row>
    <row r="69" spans="1:26" ht="15.75" customHeight="1" x14ac:dyDescent="0.35">
      <c r="A69" s="23" t="s">
        <v>150</v>
      </c>
      <c r="B69" s="34">
        <v>142</v>
      </c>
      <c r="C69" s="23" t="s">
        <v>64</v>
      </c>
      <c r="D69" s="23" t="s">
        <v>137</v>
      </c>
      <c r="E69" s="34">
        <v>22</v>
      </c>
      <c r="F69" s="34">
        <v>22</v>
      </c>
      <c r="G69" s="34">
        <v>33</v>
      </c>
      <c r="H69" s="34">
        <v>41</v>
      </c>
      <c r="I69" s="34">
        <v>35</v>
      </c>
      <c r="J69" s="35">
        <f t="shared" si="0"/>
        <v>30.6</v>
      </c>
      <c r="K69" s="36">
        <v>2.7230769230769232</v>
      </c>
      <c r="L69" s="34">
        <v>4</v>
      </c>
      <c r="M69" s="34">
        <v>1.8</v>
      </c>
      <c r="N69" s="34">
        <v>1</v>
      </c>
      <c r="O69" s="34">
        <v>1E-4</v>
      </c>
      <c r="P69" s="34">
        <f t="shared" si="1"/>
        <v>306000</v>
      </c>
      <c r="Q69" s="36">
        <f t="shared" si="2"/>
        <v>112372.8813559322</v>
      </c>
      <c r="R69" s="36">
        <f t="shared" si="3"/>
        <v>224745.7627118644</v>
      </c>
      <c r="S69" s="30"/>
      <c r="T69" s="30"/>
      <c r="U69" s="30"/>
      <c r="V69" s="30"/>
      <c r="W69" s="30"/>
      <c r="X69" s="30"/>
      <c r="Y69" s="30"/>
      <c r="Z69" s="30"/>
    </row>
    <row r="70" spans="1:26" ht="15.75" customHeight="1" x14ac:dyDescent="0.35">
      <c r="A70" s="12" t="s">
        <v>151</v>
      </c>
      <c r="B70" s="13">
        <v>188</v>
      </c>
      <c r="C70" s="13" t="s">
        <v>58</v>
      </c>
      <c r="D70" s="13" t="s">
        <v>137</v>
      </c>
      <c r="E70" s="15">
        <v>31</v>
      </c>
      <c r="F70" s="15">
        <v>27</v>
      </c>
      <c r="G70" s="15">
        <v>30</v>
      </c>
      <c r="H70" s="15">
        <v>21</v>
      </c>
      <c r="I70" s="15">
        <v>36</v>
      </c>
      <c r="J70" s="71">
        <f t="shared" si="0"/>
        <v>29</v>
      </c>
      <c r="K70" s="21">
        <v>3.4109890109890113</v>
      </c>
      <c r="L70" s="39">
        <v>4</v>
      </c>
      <c r="M70" s="39">
        <v>1.8</v>
      </c>
      <c r="N70" s="39">
        <v>1</v>
      </c>
      <c r="O70" s="39">
        <v>1E-4</v>
      </c>
      <c r="P70" s="39">
        <f t="shared" si="1"/>
        <v>290000</v>
      </c>
      <c r="Q70" s="72">
        <f t="shared" si="2"/>
        <v>85019.329896907206</v>
      </c>
      <c r="R70" s="72">
        <f t="shared" si="3"/>
        <v>170038.65979381441</v>
      </c>
    </row>
    <row r="71" spans="1:26" ht="15.75" customHeight="1" x14ac:dyDescent="0.35">
      <c r="A71" s="23" t="s">
        <v>151</v>
      </c>
      <c r="B71" s="34">
        <v>143</v>
      </c>
      <c r="C71" s="23" t="s">
        <v>64</v>
      </c>
      <c r="D71" s="23" t="s">
        <v>137</v>
      </c>
      <c r="E71" s="34">
        <v>10</v>
      </c>
      <c r="F71" s="34">
        <v>17</v>
      </c>
      <c r="G71" s="34">
        <v>13</v>
      </c>
      <c r="H71" s="34">
        <v>75</v>
      </c>
      <c r="I71" s="34">
        <v>49</v>
      </c>
      <c r="J71" s="35">
        <f t="shared" si="0"/>
        <v>32.799999999999997</v>
      </c>
      <c r="K71" s="36">
        <v>4.4747252747252748</v>
      </c>
      <c r="L71" s="34">
        <v>4</v>
      </c>
      <c r="M71" s="34">
        <v>1.8</v>
      </c>
      <c r="N71" s="34">
        <v>1</v>
      </c>
      <c r="O71" s="34">
        <v>1E-4</v>
      </c>
      <c r="P71" s="34">
        <f t="shared" si="1"/>
        <v>327999.99999999994</v>
      </c>
      <c r="Q71" s="36">
        <f t="shared" si="2"/>
        <v>73300.589390962661</v>
      </c>
      <c r="R71" s="36">
        <f t="shared" si="3"/>
        <v>146601.17878192532</v>
      </c>
      <c r="S71" s="30"/>
      <c r="T71" s="30"/>
      <c r="U71" s="30"/>
      <c r="V71" s="30"/>
      <c r="W71" s="30"/>
      <c r="X71" s="30"/>
      <c r="Y71" s="30"/>
      <c r="Z71" s="30"/>
    </row>
    <row r="72" spans="1:26" ht="15.75" customHeight="1" x14ac:dyDescent="0.35">
      <c r="A72" s="12" t="s">
        <v>152</v>
      </c>
      <c r="B72" s="13">
        <v>189</v>
      </c>
      <c r="C72" s="13" t="s">
        <v>58</v>
      </c>
      <c r="D72" s="13" t="s">
        <v>137</v>
      </c>
      <c r="E72" s="15">
        <v>19</v>
      </c>
      <c r="F72" s="15">
        <v>13</v>
      </c>
      <c r="G72" s="15">
        <v>27</v>
      </c>
      <c r="H72" s="15">
        <v>57</v>
      </c>
      <c r="I72" s="15">
        <v>38</v>
      </c>
      <c r="J72" s="71">
        <f t="shared" si="0"/>
        <v>30.8</v>
      </c>
      <c r="K72" s="21">
        <v>2.9340659340659343</v>
      </c>
      <c r="L72" s="39">
        <v>4</v>
      </c>
      <c r="M72" s="39">
        <v>1.8</v>
      </c>
      <c r="N72" s="39">
        <v>1</v>
      </c>
      <c r="O72" s="39">
        <v>1E-4</v>
      </c>
      <c r="P72" s="39">
        <f t="shared" si="1"/>
        <v>308000</v>
      </c>
      <c r="Q72" s="72">
        <f t="shared" si="2"/>
        <v>104973.78277153557</v>
      </c>
      <c r="R72" s="72">
        <f t="shared" si="3"/>
        <v>209947.56554307113</v>
      </c>
    </row>
    <row r="73" spans="1:26" ht="15.75" customHeight="1" x14ac:dyDescent="0.35">
      <c r="A73" s="23" t="s">
        <v>152</v>
      </c>
      <c r="B73" s="34">
        <v>144</v>
      </c>
      <c r="C73" s="23" t="s">
        <v>64</v>
      </c>
      <c r="D73" s="23" t="s">
        <v>137</v>
      </c>
      <c r="E73" s="34">
        <v>30</v>
      </c>
      <c r="F73" s="34">
        <v>29</v>
      </c>
      <c r="G73" s="34">
        <v>46</v>
      </c>
      <c r="H73" s="34">
        <v>17</v>
      </c>
      <c r="I73" s="34">
        <v>12</v>
      </c>
      <c r="J73" s="35">
        <f t="shared" si="0"/>
        <v>26.8</v>
      </c>
      <c r="K73" s="36">
        <v>2.389010989010989</v>
      </c>
      <c r="L73" s="34">
        <v>4</v>
      </c>
      <c r="M73" s="34">
        <v>1.8</v>
      </c>
      <c r="N73" s="34">
        <v>1</v>
      </c>
      <c r="O73" s="34">
        <v>1E-4</v>
      </c>
      <c r="P73" s="34">
        <f t="shared" si="1"/>
        <v>268000</v>
      </c>
      <c r="Q73" s="36">
        <f t="shared" si="2"/>
        <v>112180.3127874885</v>
      </c>
      <c r="R73" s="36">
        <f t="shared" si="3"/>
        <v>224360.62557497699</v>
      </c>
      <c r="S73" s="30"/>
      <c r="T73" s="30"/>
      <c r="U73" s="30"/>
      <c r="V73" s="30"/>
      <c r="W73" s="30"/>
      <c r="X73" s="30"/>
      <c r="Y73" s="30"/>
      <c r="Z73" s="30"/>
    </row>
    <row r="74" spans="1:26" ht="15.75" customHeight="1" x14ac:dyDescent="0.35">
      <c r="A74" s="12" t="s">
        <v>153</v>
      </c>
      <c r="B74" s="13">
        <v>204</v>
      </c>
      <c r="C74" s="13" t="s">
        <v>58</v>
      </c>
      <c r="D74" s="13" t="s">
        <v>137</v>
      </c>
      <c r="E74" s="15">
        <v>81</v>
      </c>
      <c r="F74" s="15">
        <v>83</v>
      </c>
      <c r="G74" s="15">
        <v>74</v>
      </c>
      <c r="H74" s="15">
        <v>126</v>
      </c>
      <c r="I74" s="15">
        <v>131</v>
      </c>
      <c r="J74" s="71">
        <f t="shared" si="0"/>
        <v>99</v>
      </c>
      <c r="K74" s="21">
        <v>2.8879120879120883</v>
      </c>
      <c r="L74" s="39">
        <v>4</v>
      </c>
      <c r="M74" s="39">
        <v>1.8</v>
      </c>
      <c r="N74" s="39">
        <v>1</v>
      </c>
      <c r="O74" s="39">
        <v>1E-4</v>
      </c>
      <c r="P74" s="39">
        <f t="shared" si="1"/>
        <v>990000</v>
      </c>
      <c r="Q74" s="72">
        <f t="shared" si="2"/>
        <v>342808.21917808213</v>
      </c>
      <c r="R74" s="72">
        <f t="shared" si="3"/>
        <v>685616.43835616426</v>
      </c>
    </row>
    <row r="75" spans="1:26" ht="15.75" customHeight="1" x14ac:dyDescent="0.35">
      <c r="A75" s="23" t="s">
        <v>153</v>
      </c>
      <c r="B75" s="34">
        <v>145</v>
      </c>
      <c r="C75" s="23" t="s">
        <v>64</v>
      </c>
      <c r="D75" s="23" t="s">
        <v>137</v>
      </c>
      <c r="E75" s="34">
        <v>39</v>
      </c>
      <c r="F75" s="34">
        <v>61</v>
      </c>
      <c r="G75" s="34">
        <v>47</v>
      </c>
      <c r="H75" s="34">
        <v>45</v>
      </c>
      <c r="I75" s="34">
        <v>40</v>
      </c>
      <c r="J75" s="35">
        <f t="shared" si="0"/>
        <v>46.4</v>
      </c>
      <c r="K75" s="36">
        <v>2.3340659340659342</v>
      </c>
      <c r="L75" s="34">
        <v>4</v>
      </c>
      <c r="M75" s="34">
        <v>1.8</v>
      </c>
      <c r="N75" s="34">
        <v>1</v>
      </c>
      <c r="O75" s="34">
        <v>1E-4</v>
      </c>
      <c r="P75" s="34">
        <f t="shared" si="1"/>
        <v>463999.99999999994</v>
      </c>
      <c r="Q75" s="36">
        <f t="shared" si="2"/>
        <v>198794.72693032012</v>
      </c>
      <c r="R75" s="36">
        <f t="shared" si="3"/>
        <v>397589.45386064023</v>
      </c>
      <c r="S75" s="30"/>
      <c r="T75" s="30"/>
      <c r="U75" s="30"/>
      <c r="V75" s="30"/>
      <c r="W75" s="30"/>
      <c r="X75" s="30"/>
      <c r="Y75" s="30"/>
      <c r="Z75" s="30"/>
    </row>
    <row r="76" spans="1:26" ht="15.75" customHeight="1" x14ac:dyDescent="0.35">
      <c r="A76" s="12" t="s">
        <v>154</v>
      </c>
      <c r="B76" s="13">
        <v>190</v>
      </c>
      <c r="C76" s="13" t="s">
        <v>58</v>
      </c>
      <c r="D76" s="13" t="s">
        <v>137</v>
      </c>
      <c r="E76" s="15">
        <v>20</v>
      </c>
      <c r="F76" s="15">
        <v>24</v>
      </c>
      <c r="G76" s="15">
        <v>40</v>
      </c>
      <c r="H76" s="15">
        <v>64</v>
      </c>
      <c r="I76" s="15">
        <v>59</v>
      </c>
      <c r="J76" s="71">
        <f t="shared" si="0"/>
        <v>41.4</v>
      </c>
      <c r="K76" s="21">
        <v>3.4373626373626371</v>
      </c>
      <c r="L76" s="39">
        <v>4</v>
      </c>
      <c r="M76" s="39">
        <v>1.8</v>
      </c>
      <c r="N76" s="39">
        <v>1</v>
      </c>
      <c r="O76" s="39">
        <v>1E-4</v>
      </c>
      <c r="P76" s="39">
        <f t="shared" si="1"/>
        <v>413999.99999999994</v>
      </c>
      <c r="Q76" s="72">
        <f t="shared" si="2"/>
        <v>120441.17647058822</v>
      </c>
      <c r="R76" s="72">
        <f t="shared" si="3"/>
        <v>240882.35294117645</v>
      </c>
    </row>
    <row r="77" spans="1:26" ht="15.75" customHeight="1" x14ac:dyDescent="0.35">
      <c r="A77" s="23" t="s">
        <v>154</v>
      </c>
      <c r="B77" s="34">
        <v>146</v>
      </c>
      <c r="C77" s="23" t="s">
        <v>64</v>
      </c>
      <c r="D77" s="23" t="s">
        <v>137</v>
      </c>
      <c r="E77" s="34">
        <v>32</v>
      </c>
      <c r="F77" s="34">
        <v>36</v>
      </c>
      <c r="G77" s="34">
        <v>42</v>
      </c>
      <c r="H77" s="34">
        <v>49</v>
      </c>
      <c r="I77" s="34">
        <v>57</v>
      </c>
      <c r="J77" s="35">
        <f t="shared" si="0"/>
        <v>43.2</v>
      </c>
      <c r="K77" s="36">
        <v>2.6483516483516483</v>
      </c>
      <c r="L77" s="34">
        <v>4</v>
      </c>
      <c r="M77" s="34">
        <v>1.8</v>
      </c>
      <c r="N77" s="34">
        <v>1</v>
      </c>
      <c r="O77" s="34">
        <v>1E-4</v>
      </c>
      <c r="P77" s="34">
        <f t="shared" si="1"/>
        <v>432000</v>
      </c>
      <c r="Q77" s="36">
        <f t="shared" si="2"/>
        <v>163120.33195020747</v>
      </c>
      <c r="R77" s="36">
        <f t="shared" si="3"/>
        <v>326240.66390041495</v>
      </c>
      <c r="S77" s="30"/>
      <c r="T77" s="30"/>
      <c r="U77" s="30"/>
      <c r="V77" s="30"/>
      <c r="W77" s="30"/>
      <c r="X77" s="30"/>
      <c r="Y77" s="30"/>
      <c r="Z77" s="30"/>
    </row>
    <row r="78" spans="1:26" ht="15.75" customHeight="1" x14ac:dyDescent="0.35">
      <c r="A78" s="12" t="s">
        <v>155</v>
      </c>
      <c r="B78" s="13">
        <v>191</v>
      </c>
      <c r="C78" s="13" t="s">
        <v>58</v>
      </c>
      <c r="D78" s="13" t="s">
        <v>137</v>
      </c>
      <c r="E78" s="15">
        <v>13</v>
      </c>
      <c r="F78" s="15">
        <v>11</v>
      </c>
      <c r="G78" s="15">
        <v>39</v>
      </c>
      <c r="H78" s="15">
        <v>23</v>
      </c>
      <c r="I78" s="15">
        <v>43</v>
      </c>
      <c r="J78" s="71">
        <f t="shared" si="0"/>
        <v>25.8</v>
      </c>
      <c r="K78" s="21">
        <v>3.0769230769230771</v>
      </c>
      <c r="L78" s="39">
        <v>4</v>
      </c>
      <c r="M78" s="39">
        <v>1.8</v>
      </c>
      <c r="N78" s="39">
        <v>1</v>
      </c>
      <c r="O78" s="39">
        <v>1E-4</v>
      </c>
      <c r="P78" s="39">
        <f t="shared" si="1"/>
        <v>258000</v>
      </c>
      <c r="Q78" s="72">
        <f t="shared" si="2"/>
        <v>83850</v>
      </c>
      <c r="R78" s="72">
        <f t="shared" si="3"/>
        <v>167700</v>
      </c>
    </row>
    <row r="79" spans="1:26" ht="15.75" customHeight="1" x14ac:dyDescent="0.35">
      <c r="A79" s="23" t="s">
        <v>155</v>
      </c>
      <c r="B79" s="34">
        <v>147</v>
      </c>
      <c r="C79" s="23" t="s">
        <v>64</v>
      </c>
      <c r="D79" s="23" t="s">
        <v>137</v>
      </c>
      <c r="E79" s="34">
        <v>36</v>
      </c>
      <c r="F79" s="34">
        <v>78</v>
      </c>
      <c r="G79" s="34">
        <v>131</v>
      </c>
      <c r="H79" s="34">
        <v>147</v>
      </c>
      <c r="I79" s="34">
        <v>123</v>
      </c>
      <c r="J79" s="35">
        <f t="shared" si="0"/>
        <v>103</v>
      </c>
      <c r="K79" s="36">
        <v>2.9428571428571426</v>
      </c>
      <c r="L79" s="34">
        <v>4</v>
      </c>
      <c r="M79" s="34">
        <v>1.8</v>
      </c>
      <c r="N79" s="34">
        <v>1</v>
      </c>
      <c r="O79" s="34">
        <v>1E-4</v>
      </c>
      <c r="P79" s="34">
        <f t="shared" si="1"/>
        <v>1030000</v>
      </c>
      <c r="Q79" s="36">
        <f t="shared" si="2"/>
        <v>350000</v>
      </c>
      <c r="R79" s="36">
        <f t="shared" si="3"/>
        <v>700000</v>
      </c>
      <c r="S79" s="30"/>
      <c r="T79" s="30"/>
      <c r="U79" s="30"/>
      <c r="V79" s="30"/>
      <c r="W79" s="30"/>
      <c r="X79" s="30"/>
      <c r="Y79" s="30"/>
      <c r="Z79" s="30"/>
    </row>
    <row r="80" spans="1:26" ht="15.75" customHeight="1" x14ac:dyDescent="0.35">
      <c r="A80" s="12" t="s">
        <v>156</v>
      </c>
      <c r="B80" s="13">
        <v>206</v>
      </c>
      <c r="C80" s="13" t="s">
        <v>58</v>
      </c>
      <c r="D80" s="13" t="s">
        <v>137</v>
      </c>
      <c r="E80" s="15">
        <v>56</v>
      </c>
      <c r="F80" s="15">
        <v>67</v>
      </c>
      <c r="G80" s="15">
        <v>90</v>
      </c>
      <c r="H80" s="15">
        <v>132</v>
      </c>
      <c r="I80" s="15">
        <v>135</v>
      </c>
      <c r="J80" s="71">
        <f t="shared" si="0"/>
        <v>96</v>
      </c>
      <c r="K80" s="21">
        <v>3.5670329670329672</v>
      </c>
      <c r="L80" s="39">
        <v>4</v>
      </c>
      <c r="M80" s="39">
        <v>1.8</v>
      </c>
      <c r="N80" s="39">
        <v>1</v>
      </c>
      <c r="O80" s="39">
        <v>1E-4</v>
      </c>
      <c r="P80" s="39">
        <f t="shared" si="1"/>
        <v>960000</v>
      </c>
      <c r="Q80" s="72">
        <f t="shared" si="2"/>
        <v>269131.23844731977</v>
      </c>
      <c r="R80" s="72">
        <f t="shared" si="3"/>
        <v>538262.47689463955</v>
      </c>
    </row>
    <row r="81" spans="1:26" ht="15.75" customHeight="1" x14ac:dyDescent="0.35">
      <c r="A81" s="23" t="s">
        <v>156</v>
      </c>
      <c r="B81" s="34">
        <v>148</v>
      </c>
      <c r="C81" s="23" t="s">
        <v>64</v>
      </c>
      <c r="D81" s="23" t="s">
        <v>137</v>
      </c>
      <c r="E81" s="34">
        <v>16</v>
      </c>
      <c r="F81" s="34">
        <v>7</v>
      </c>
      <c r="G81" s="34">
        <v>16</v>
      </c>
      <c r="H81" s="34">
        <v>25</v>
      </c>
      <c r="I81" s="34">
        <v>20</v>
      </c>
      <c r="J81" s="35">
        <f t="shared" si="0"/>
        <v>16.8</v>
      </c>
      <c r="K81" s="36">
        <v>2.5010989010989011</v>
      </c>
      <c r="L81" s="34">
        <v>4</v>
      </c>
      <c r="M81" s="34">
        <v>1.8</v>
      </c>
      <c r="N81" s="34">
        <v>1</v>
      </c>
      <c r="O81" s="34">
        <v>1E-4</v>
      </c>
      <c r="P81" s="34">
        <f t="shared" si="1"/>
        <v>168000</v>
      </c>
      <c r="Q81" s="36">
        <f t="shared" si="2"/>
        <v>67170.474516695962</v>
      </c>
      <c r="R81" s="36">
        <f t="shared" si="3"/>
        <v>134340.94903339192</v>
      </c>
      <c r="S81" s="30"/>
      <c r="T81" s="30"/>
      <c r="U81" s="30"/>
      <c r="V81" s="30"/>
      <c r="W81" s="30"/>
      <c r="X81" s="30"/>
      <c r="Y81" s="30"/>
      <c r="Z81" s="30"/>
    </row>
    <row r="82" spans="1:26" ht="15.75" customHeight="1" x14ac:dyDescent="0.35"/>
    <row r="83" spans="1:26" ht="15.75" customHeight="1" x14ac:dyDescent="0.35"/>
    <row r="84" spans="1:26" ht="15.75" customHeight="1" x14ac:dyDescent="0.35"/>
    <row r="85" spans="1:26" ht="15.75" customHeight="1" x14ac:dyDescent="0.35"/>
    <row r="86" spans="1:26" ht="15.75" customHeight="1" x14ac:dyDescent="0.35"/>
    <row r="87" spans="1:26" ht="15.75" customHeight="1" x14ac:dyDescent="0.35"/>
    <row r="88" spans="1:26" ht="15.75" customHeight="1" x14ac:dyDescent="0.35"/>
    <row r="89" spans="1:26" ht="15.75" customHeight="1" x14ac:dyDescent="0.35"/>
    <row r="90" spans="1:26" ht="15.75" customHeight="1" x14ac:dyDescent="0.35"/>
    <row r="91" spans="1:26" ht="15.75" customHeight="1" x14ac:dyDescent="0.35"/>
    <row r="92" spans="1:26" ht="15.75" customHeight="1" x14ac:dyDescent="0.35"/>
    <row r="93" spans="1:26" ht="15.75" customHeight="1" x14ac:dyDescent="0.35"/>
    <row r="94" spans="1:26" ht="15.75" customHeight="1" x14ac:dyDescent="0.35"/>
    <row r="95" spans="1:26" ht="15.75" customHeight="1" x14ac:dyDescent="0.35"/>
    <row r="96" spans="1:2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71"/>
  <sheetViews>
    <sheetView workbookViewId="0"/>
  </sheetViews>
  <sheetFormatPr defaultColWidth="11.25" defaultRowHeight="15" customHeight="1" x14ac:dyDescent="0.35"/>
  <sheetData>
    <row r="1" spans="1:33" x14ac:dyDescent="0.35">
      <c r="A1" s="1" t="s">
        <v>0</v>
      </c>
      <c r="B1" s="3" t="s">
        <v>3</v>
      </c>
      <c r="C1" s="3" t="s">
        <v>9</v>
      </c>
      <c r="D1" s="3" t="s">
        <v>10</v>
      </c>
      <c r="E1" s="3" t="s">
        <v>12</v>
      </c>
      <c r="F1" s="3" t="s">
        <v>16</v>
      </c>
      <c r="G1" s="5" t="s">
        <v>21</v>
      </c>
      <c r="H1" s="5" t="s">
        <v>26</v>
      </c>
      <c r="I1" s="7"/>
      <c r="J1" s="7"/>
      <c r="K1" s="7"/>
      <c r="L1" s="8" t="s">
        <v>29</v>
      </c>
      <c r="M1" s="10" t="s">
        <v>42</v>
      </c>
      <c r="N1" s="10" t="s">
        <v>48</v>
      </c>
      <c r="O1" s="10" t="s">
        <v>50</v>
      </c>
      <c r="P1" s="10" t="s">
        <v>52</v>
      </c>
      <c r="Q1" s="11" t="s">
        <v>3</v>
      </c>
      <c r="R1" s="11" t="s">
        <v>9</v>
      </c>
      <c r="S1" s="11" t="s">
        <v>10</v>
      </c>
      <c r="T1" s="14" t="s">
        <v>57</v>
      </c>
      <c r="U1" s="16" t="s">
        <v>60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x14ac:dyDescent="0.35">
      <c r="A2" s="17">
        <v>41</v>
      </c>
      <c r="B2" s="19">
        <v>3.2000000000000001E-2</v>
      </c>
      <c r="C2" s="19">
        <v>2.9000000000000001E-2</v>
      </c>
      <c r="D2" s="19">
        <v>0.03</v>
      </c>
      <c r="E2" s="19">
        <f t="shared" ref="E2:E81" si="0">AVERAGE(B2:D2)</f>
        <v>3.0333333333333334E-2</v>
      </c>
      <c r="F2" s="19">
        <f t="shared" ref="F2:F81" si="1">E2-$T$9</f>
        <v>2.9333333333333333E-2</v>
      </c>
      <c r="G2" s="24">
        <f t="shared" ref="G2:G81" si="2">(F2-0.0722)/(-0.0111)</f>
        <v>3.8618618618618616</v>
      </c>
      <c r="H2" s="24">
        <f t="shared" ref="H2:H81" si="3">(G2*1600*10)/300</f>
        <v>205.96596596596595</v>
      </c>
      <c r="I2" s="7"/>
      <c r="J2" s="7"/>
      <c r="K2" s="7"/>
      <c r="L2" s="27">
        <v>2000</v>
      </c>
      <c r="M2" s="29">
        <v>100</v>
      </c>
      <c r="N2" s="29">
        <f t="shared" ref="N2:N9" si="4">100-M2</f>
        <v>0</v>
      </c>
      <c r="O2" s="29">
        <v>10</v>
      </c>
      <c r="P2" s="29">
        <v>300</v>
      </c>
      <c r="Q2" s="31">
        <v>7.0999999999999994E-2</v>
      </c>
      <c r="R2" s="31">
        <v>7.3999999999999996E-2</v>
      </c>
      <c r="S2" s="32">
        <v>7.0000000000000007E-2</v>
      </c>
      <c r="T2" s="19">
        <f t="shared" ref="T2:T9" si="5">AVERAGE(Q2:R2)</f>
        <v>7.2499999999999995E-2</v>
      </c>
      <c r="U2" s="19">
        <f t="shared" ref="U2:U8" si="6">T2-0.001</f>
        <v>7.1499999999999994E-2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35">
      <c r="A3" s="17">
        <v>42</v>
      </c>
      <c r="B3" s="19">
        <v>3.5999999999999997E-2</v>
      </c>
      <c r="C3" s="19">
        <v>3.4000000000000002E-2</v>
      </c>
      <c r="D3" s="19">
        <v>2.5000000000000001E-2</v>
      </c>
      <c r="E3" s="19">
        <f t="shared" si="0"/>
        <v>3.1666666666666669E-2</v>
      </c>
      <c r="F3" s="19">
        <f t="shared" si="1"/>
        <v>3.0666666666666668E-2</v>
      </c>
      <c r="G3" s="24">
        <f t="shared" si="2"/>
        <v>3.7417417417417416</v>
      </c>
      <c r="H3" s="24">
        <f t="shared" si="3"/>
        <v>199.55955955955955</v>
      </c>
      <c r="I3" s="7"/>
      <c r="J3" s="7"/>
      <c r="K3" s="7"/>
      <c r="L3" s="27">
        <v>1500</v>
      </c>
      <c r="M3" s="29">
        <v>75</v>
      </c>
      <c r="N3" s="29">
        <f t="shared" si="4"/>
        <v>25</v>
      </c>
      <c r="O3" s="29">
        <v>10</v>
      </c>
      <c r="P3" s="29">
        <v>300</v>
      </c>
      <c r="Q3" s="31">
        <v>6.8000000000000005E-2</v>
      </c>
      <c r="R3" s="31">
        <v>6.0999999999999999E-2</v>
      </c>
      <c r="S3" s="32">
        <v>5.7000000000000002E-2</v>
      </c>
      <c r="T3" s="19">
        <f t="shared" si="5"/>
        <v>6.4500000000000002E-2</v>
      </c>
      <c r="U3" s="19">
        <f t="shared" si="6"/>
        <v>6.3500000000000001E-2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x14ac:dyDescent="0.35">
      <c r="A4" s="17">
        <v>43</v>
      </c>
      <c r="B4" s="19">
        <v>4.5999999999999999E-2</v>
      </c>
      <c r="C4" s="19">
        <v>4.8000000000000001E-2</v>
      </c>
      <c r="D4" s="19">
        <v>5.6000000000000001E-2</v>
      </c>
      <c r="E4" s="19">
        <f t="shared" si="0"/>
        <v>4.9999999999999996E-2</v>
      </c>
      <c r="F4" s="19">
        <f t="shared" si="1"/>
        <v>4.8999999999999995E-2</v>
      </c>
      <c r="G4" s="24">
        <f t="shared" si="2"/>
        <v>2.0900900900900905</v>
      </c>
      <c r="H4" s="24">
        <f t="shared" si="3"/>
        <v>111.4714714714715</v>
      </c>
      <c r="I4" s="7"/>
      <c r="J4" s="7"/>
      <c r="K4" s="7"/>
      <c r="L4" s="27">
        <v>1000</v>
      </c>
      <c r="M4" s="29">
        <v>50</v>
      </c>
      <c r="N4" s="29">
        <f t="shared" si="4"/>
        <v>50</v>
      </c>
      <c r="O4" s="29">
        <v>10</v>
      </c>
      <c r="P4" s="29">
        <v>300</v>
      </c>
      <c r="Q4" s="31">
        <v>0.05</v>
      </c>
      <c r="R4" s="31">
        <v>5.0999999999999997E-2</v>
      </c>
      <c r="S4" s="32">
        <v>0.05</v>
      </c>
      <c r="T4" s="19">
        <f t="shared" si="5"/>
        <v>5.0500000000000003E-2</v>
      </c>
      <c r="U4" s="19">
        <f t="shared" si="6"/>
        <v>4.9500000000000002E-2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x14ac:dyDescent="0.35">
      <c r="A5" s="17">
        <v>44</v>
      </c>
      <c r="B5" s="19">
        <v>0.05</v>
      </c>
      <c r="C5" s="19">
        <v>5.5E-2</v>
      </c>
      <c r="D5" s="19">
        <v>4.8000000000000001E-2</v>
      </c>
      <c r="E5" s="19">
        <f t="shared" si="0"/>
        <v>5.1000000000000011E-2</v>
      </c>
      <c r="F5" s="19">
        <f t="shared" si="1"/>
        <v>5.000000000000001E-2</v>
      </c>
      <c r="G5" s="24">
        <f t="shared" si="2"/>
        <v>1.9999999999999991</v>
      </c>
      <c r="H5" s="24">
        <f t="shared" si="3"/>
        <v>106.66666666666661</v>
      </c>
      <c r="I5" s="7"/>
      <c r="J5" s="7"/>
      <c r="K5" s="7"/>
      <c r="L5" s="27">
        <v>750</v>
      </c>
      <c r="M5" s="29">
        <v>37.5</v>
      </c>
      <c r="N5" s="29">
        <f t="shared" si="4"/>
        <v>62.5</v>
      </c>
      <c r="O5" s="29">
        <v>10</v>
      </c>
      <c r="P5" s="29">
        <v>300</v>
      </c>
      <c r="Q5" s="31">
        <v>4.3999999999999997E-2</v>
      </c>
      <c r="R5" s="31">
        <v>3.1E-2</v>
      </c>
      <c r="S5" s="32">
        <v>3.9E-2</v>
      </c>
      <c r="T5" s="19">
        <f t="shared" si="5"/>
        <v>3.7499999999999999E-2</v>
      </c>
      <c r="U5" s="19">
        <f t="shared" si="6"/>
        <v>3.6499999999999998E-2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x14ac:dyDescent="0.35">
      <c r="A6" s="17">
        <v>45</v>
      </c>
      <c r="B6" s="19">
        <v>4.8000000000000001E-2</v>
      </c>
      <c r="C6" s="19">
        <v>0.05</v>
      </c>
      <c r="D6" s="19">
        <v>5.2999999999999999E-2</v>
      </c>
      <c r="E6" s="19">
        <f t="shared" si="0"/>
        <v>5.0333333333333334E-2</v>
      </c>
      <c r="F6" s="19">
        <f t="shared" si="1"/>
        <v>4.9333333333333333E-2</v>
      </c>
      <c r="G6" s="24">
        <f t="shared" si="2"/>
        <v>2.06006006006006</v>
      </c>
      <c r="H6" s="24">
        <f t="shared" si="3"/>
        <v>109.86986986986987</v>
      </c>
      <c r="I6" s="7"/>
      <c r="J6" s="7"/>
      <c r="K6" s="7"/>
      <c r="L6" s="27">
        <v>500</v>
      </c>
      <c r="M6" s="29">
        <v>25</v>
      </c>
      <c r="N6" s="29">
        <f t="shared" si="4"/>
        <v>75</v>
      </c>
      <c r="O6" s="29">
        <v>10</v>
      </c>
      <c r="P6" s="29">
        <v>300</v>
      </c>
      <c r="Q6" s="31">
        <v>2.3E-2</v>
      </c>
      <c r="R6" s="31">
        <v>2.8000000000000001E-2</v>
      </c>
      <c r="S6" s="32">
        <v>2.1000000000000001E-2</v>
      </c>
      <c r="T6" s="19">
        <f t="shared" si="5"/>
        <v>2.5500000000000002E-2</v>
      </c>
      <c r="U6" s="19">
        <f t="shared" si="6"/>
        <v>2.4500000000000001E-2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35">
      <c r="A7" s="17">
        <v>46</v>
      </c>
      <c r="B7" s="19">
        <v>5.5E-2</v>
      </c>
      <c r="C7" s="19">
        <v>5.6000000000000001E-2</v>
      </c>
      <c r="D7" s="19">
        <v>5.1999999999999998E-2</v>
      </c>
      <c r="E7" s="19">
        <f t="shared" si="0"/>
        <v>5.4333333333333338E-2</v>
      </c>
      <c r="F7" s="19">
        <f t="shared" si="1"/>
        <v>5.3333333333333337E-2</v>
      </c>
      <c r="G7" s="24">
        <f t="shared" si="2"/>
        <v>1.6996996996996994</v>
      </c>
      <c r="H7" s="24">
        <f t="shared" si="3"/>
        <v>90.650650650650633</v>
      </c>
      <c r="I7" s="7"/>
      <c r="J7" s="7"/>
      <c r="K7" s="7"/>
      <c r="L7" s="27">
        <v>250</v>
      </c>
      <c r="M7" s="29">
        <v>12.5</v>
      </c>
      <c r="N7" s="29">
        <f t="shared" si="4"/>
        <v>87.5</v>
      </c>
      <c r="O7" s="29">
        <v>10</v>
      </c>
      <c r="P7" s="29">
        <v>300</v>
      </c>
      <c r="Q7" s="31">
        <v>0.01</v>
      </c>
      <c r="R7" s="31">
        <v>8.9999999999999993E-3</v>
      </c>
      <c r="S7" s="32">
        <v>0.01</v>
      </c>
      <c r="T7" s="19">
        <f t="shared" si="5"/>
        <v>9.4999999999999998E-3</v>
      </c>
      <c r="U7" s="19">
        <f t="shared" si="6"/>
        <v>8.5000000000000006E-3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35">
      <c r="A8" s="17">
        <v>47</v>
      </c>
      <c r="B8" s="19">
        <v>4.2000000000000003E-2</v>
      </c>
      <c r="C8" s="19">
        <v>3.9E-2</v>
      </c>
      <c r="D8" s="19">
        <v>4.2999999999999997E-2</v>
      </c>
      <c r="E8" s="19">
        <f t="shared" si="0"/>
        <v>4.1333333333333333E-2</v>
      </c>
      <c r="F8" s="19">
        <f t="shared" si="1"/>
        <v>4.0333333333333332E-2</v>
      </c>
      <c r="G8" s="24">
        <f t="shared" si="2"/>
        <v>2.870870870870871</v>
      </c>
      <c r="H8" s="24">
        <f t="shared" si="3"/>
        <v>153.11311311311314</v>
      </c>
      <c r="I8" s="7"/>
      <c r="J8" s="7"/>
      <c r="K8" s="7"/>
      <c r="L8" s="27">
        <v>125</v>
      </c>
      <c r="M8" s="29">
        <v>7.6</v>
      </c>
      <c r="N8" s="29">
        <f t="shared" si="4"/>
        <v>92.4</v>
      </c>
      <c r="O8" s="29">
        <v>10</v>
      </c>
      <c r="P8" s="29">
        <v>300</v>
      </c>
      <c r="Q8" s="31">
        <v>5.0000000000000001E-3</v>
      </c>
      <c r="R8" s="31">
        <v>4.0000000000000001E-3</v>
      </c>
      <c r="S8" s="32">
        <v>5.0000000000000001E-3</v>
      </c>
      <c r="T8" s="19">
        <f t="shared" si="5"/>
        <v>4.5000000000000005E-3</v>
      </c>
      <c r="U8" s="19">
        <f t="shared" si="6"/>
        <v>3.5000000000000005E-3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x14ac:dyDescent="0.35">
      <c r="A9" s="17">
        <v>48</v>
      </c>
      <c r="B9" s="19">
        <v>0.03</v>
      </c>
      <c r="C9" s="19">
        <v>2.5999999999999999E-2</v>
      </c>
      <c r="D9" s="19">
        <v>3.1E-2</v>
      </c>
      <c r="E9" s="19">
        <f t="shared" si="0"/>
        <v>2.8999999999999998E-2</v>
      </c>
      <c r="F9" s="19">
        <f t="shared" si="1"/>
        <v>2.7999999999999997E-2</v>
      </c>
      <c r="G9" s="24">
        <f t="shared" si="2"/>
        <v>3.9819819819819822</v>
      </c>
      <c r="H9" s="24">
        <f t="shared" si="3"/>
        <v>212.37237237237238</v>
      </c>
      <c r="I9" s="7"/>
      <c r="J9" s="7"/>
      <c r="K9" s="7"/>
      <c r="L9" s="27">
        <v>0</v>
      </c>
      <c r="M9" s="29">
        <v>0</v>
      </c>
      <c r="N9" s="29">
        <f t="shared" si="4"/>
        <v>100</v>
      </c>
      <c r="O9" s="29">
        <v>10</v>
      </c>
      <c r="P9" s="29">
        <v>300</v>
      </c>
      <c r="Q9" s="31">
        <v>1E-3</v>
      </c>
      <c r="R9" s="31">
        <v>1E-3</v>
      </c>
      <c r="S9" s="31">
        <v>1E-3</v>
      </c>
      <c r="T9" s="19">
        <f t="shared" si="5"/>
        <v>1E-3</v>
      </c>
      <c r="U9" s="44" t="s">
        <v>61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x14ac:dyDescent="0.35">
      <c r="A10" s="17">
        <v>49</v>
      </c>
      <c r="B10" s="19">
        <v>3.2000000000000001E-2</v>
      </c>
      <c r="C10" s="19">
        <v>3.3000000000000002E-2</v>
      </c>
      <c r="D10" s="19">
        <v>3.5000000000000003E-2</v>
      </c>
      <c r="E10" s="19">
        <f t="shared" si="0"/>
        <v>3.3333333333333333E-2</v>
      </c>
      <c r="F10" s="19">
        <f t="shared" si="1"/>
        <v>3.2333333333333332E-2</v>
      </c>
      <c r="G10" s="24">
        <f t="shared" si="2"/>
        <v>3.5915915915915915</v>
      </c>
      <c r="H10" s="24">
        <f t="shared" si="3"/>
        <v>191.55155155155154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35">
      <c r="A11" s="17">
        <v>50</v>
      </c>
      <c r="B11" s="19">
        <v>2.7E-2</v>
      </c>
      <c r="C11" s="19">
        <v>0.03</v>
      </c>
      <c r="D11" s="19">
        <v>2.7E-2</v>
      </c>
      <c r="E11" s="19">
        <f t="shared" si="0"/>
        <v>2.7999999999999997E-2</v>
      </c>
      <c r="F11" s="19">
        <f t="shared" si="1"/>
        <v>2.6999999999999996E-2</v>
      </c>
      <c r="G11" s="24">
        <f t="shared" si="2"/>
        <v>4.0720720720720722</v>
      </c>
      <c r="H11" s="24">
        <f t="shared" si="3"/>
        <v>217.17717717717716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35">
      <c r="A12" s="17">
        <v>51</v>
      </c>
      <c r="B12" s="19">
        <v>1E-3</v>
      </c>
      <c r="C12" s="19">
        <v>2E-3</v>
      </c>
      <c r="D12" s="19">
        <v>1E-3</v>
      </c>
      <c r="E12" s="19">
        <f t="shared" si="0"/>
        <v>1.3333333333333333E-3</v>
      </c>
      <c r="F12" s="19">
        <f t="shared" si="1"/>
        <v>3.3333333333333327E-4</v>
      </c>
      <c r="G12" s="24">
        <f t="shared" si="2"/>
        <v>6.4744744744744738</v>
      </c>
      <c r="H12" s="24">
        <f t="shared" si="3"/>
        <v>345.3053053053053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x14ac:dyDescent="0.35">
      <c r="A13" s="17">
        <v>52</v>
      </c>
      <c r="B13" s="19">
        <v>6.0000000000000001E-3</v>
      </c>
      <c r="C13" s="19">
        <v>6.0000000000000001E-3</v>
      </c>
      <c r="D13" s="19">
        <v>5.0000000000000001E-3</v>
      </c>
      <c r="E13" s="19">
        <f t="shared" si="0"/>
        <v>5.6666666666666671E-3</v>
      </c>
      <c r="F13" s="19">
        <f t="shared" si="1"/>
        <v>4.6666666666666671E-3</v>
      </c>
      <c r="G13" s="24">
        <f t="shared" si="2"/>
        <v>6.0840840840840835</v>
      </c>
      <c r="H13" s="24">
        <f t="shared" si="3"/>
        <v>324.48448448448448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x14ac:dyDescent="0.35">
      <c r="A14" s="17">
        <v>53</v>
      </c>
      <c r="B14" s="19">
        <v>8.0000000000000002E-3</v>
      </c>
      <c r="C14" s="19">
        <v>6.0000000000000001E-3</v>
      </c>
      <c r="D14" s="19">
        <v>4.0000000000000001E-3</v>
      </c>
      <c r="E14" s="19">
        <f t="shared" si="0"/>
        <v>6.000000000000001E-3</v>
      </c>
      <c r="F14" s="19">
        <f t="shared" si="1"/>
        <v>5.000000000000001E-3</v>
      </c>
      <c r="G14" s="24">
        <f t="shared" si="2"/>
        <v>6.0540540540540535</v>
      </c>
      <c r="H14" s="24">
        <f t="shared" si="3"/>
        <v>322.88288288288283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35">
      <c r="A15" s="17">
        <v>54</v>
      </c>
      <c r="B15" s="19">
        <v>8.9999999999999993E-3</v>
      </c>
      <c r="C15" s="19">
        <v>1.2999999999999999E-2</v>
      </c>
      <c r="D15" s="19">
        <v>1.4999999999999999E-2</v>
      </c>
      <c r="E15" s="19">
        <f t="shared" si="0"/>
        <v>1.2333333333333333E-2</v>
      </c>
      <c r="F15" s="19">
        <f t="shared" si="1"/>
        <v>1.1333333333333334E-2</v>
      </c>
      <c r="G15" s="24">
        <f t="shared" si="2"/>
        <v>5.4834834834834831</v>
      </c>
      <c r="H15" s="24">
        <f t="shared" si="3"/>
        <v>292.45245245245241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35">
      <c r="A16" s="17">
        <v>55</v>
      </c>
      <c r="B16" s="19">
        <v>3.2000000000000001E-2</v>
      </c>
      <c r="C16" s="19">
        <v>2.9000000000000001E-2</v>
      </c>
      <c r="D16" s="19">
        <v>3.1E-2</v>
      </c>
      <c r="E16" s="19">
        <f t="shared" si="0"/>
        <v>3.0666666666666665E-2</v>
      </c>
      <c r="F16" s="19">
        <f t="shared" si="1"/>
        <v>2.9666666666666664E-2</v>
      </c>
      <c r="G16" s="24">
        <f t="shared" si="2"/>
        <v>3.8318318318318321</v>
      </c>
      <c r="H16" s="24">
        <f t="shared" si="3"/>
        <v>204.36436436436438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35">
      <c r="A17" s="17">
        <v>56</v>
      </c>
      <c r="B17" s="19">
        <v>1.2E-2</v>
      </c>
      <c r="C17" s="19">
        <v>1.2E-2</v>
      </c>
      <c r="D17" s="19">
        <v>1.2999999999999999E-2</v>
      </c>
      <c r="E17" s="19">
        <f t="shared" si="0"/>
        <v>1.2333333333333333E-2</v>
      </c>
      <c r="F17" s="19">
        <f t="shared" si="1"/>
        <v>1.1333333333333334E-2</v>
      </c>
      <c r="G17" s="24">
        <f t="shared" si="2"/>
        <v>5.4834834834834831</v>
      </c>
      <c r="H17" s="24">
        <f t="shared" si="3"/>
        <v>292.45245245245241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x14ac:dyDescent="0.35">
      <c r="A18" s="17">
        <v>57</v>
      </c>
      <c r="B18" s="19">
        <v>3.3000000000000002E-2</v>
      </c>
      <c r="C18" s="19">
        <v>3.1E-2</v>
      </c>
      <c r="D18" s="19">
        <v>3.2000000000000001E-2</v>
      </c>
      <c r="E18" s="19">
        <f t="shared" si="0"/>
        <v>3.2000000000000001E-2</v>
      </c>
      <c r="F18" s="19">
        <f t="shared" si="1"/>
        <v>3.1E-2</v>
      </c>
      <c r="G18" s="24">
        <f t="shared" si="2"/>
        <v>3.7117117117117115</v>
      </c>
      <c r="H18" s="24">
        <f t="shared" si="3"/>
        <v>197.95795795795797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35">
      <c r="A19" s="17">
        <v>58</v>
      </c>
      <c r="B19" s="19">
        <v>3.3000000000000002E-2</v>
      </c>
      <c r="C19" s="19">
        <v>3.3000000000000002E-2</v>
      </c>
      <c r="D19" s="19">
        <v>3.7999999999999999E-2</v>
      </c>
      <c r="E19" s="19">
        <f t="shared" si="0"/>
        <v>3.4666666666666672E-2</v>
      </c>
      <c r="F19" s="19">
        <f t="shared" si="1"/>
        <v>3.3666666666666671E-2</v>
      </c>
      <c r="G19" s="24">
        <f t="shared" si="2"/>
        <v>3.4714714714714709</v>
      </c>
      <c r="H19" s="24">
        <f t="shared" si="3"/>
        <v>185.14514514514511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x14ac:dyDescent="0.35">
      <c r="A20" s="17">
        <v>59</v>
      </c>
      <c r="B20" s="19">
        <v>1.2999999999999999E-2</v>
      </c>
      <c r="C20" s="19">
        <v>1.4E-2</v>
      </c>
      <c r="D20" s="19">
        <v>1.2999999999999999E-2</v>
      </c>
      <c r="E20" s="19">
        <f t="shared" si="0"/>
        <v>1.3333333333333334E-2</v>
      </c>
      <c r="F20" s="19">
        <f t="shared" si="1"/>
        <v>1.2333333333333335E-2</v>
      </c>
      <c r="G20" s="24">
        <f t="shared" si="2"/>
        <v>5.3933933933933931</v>
      </c>
      <c r="H20" s="24">
        <f t="shared" si="3"/>
        <v>287.64764764764766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35">
      <c r="A21" s="17">
        <v>60</v>
      </c>
      <c r="B21" s="19">
        <v>1.2999999999999999E-2</v>
      </c>
      <c r="C21" s="19">
        <v>1.7000000000000001E-2</v>
      </c>
      <c r="D21" s="19">
        <v>1.4E-2</v>
      </c>
      <c r="E21" s="19">
        <f t="shared" si="0"/>
        <v>1.4666666666666666E-2</v>
      </c>
      <c r="F21" s="19">
        <f t="shared" si="1"/>
        <v>1.3666666666666667E-2</v>
      </c>
      <c r="G21" s="24">
        <f t="shared" si="2"/>
        <v>5.273273273273273</v>
      </c>
      <c r="H21" s="24">
        <f t="shared" si="3"/>
        <v>281.2412412412412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x14ac:dyDescent="0.35">
      <c r="A22" s="17">
        <v>61</v>
      </c>
      <c r="B22" s="19">
        <v>2.1999999999999999E-2</v>
      </c>
      <c r="C22" s="19">
        <v>1.9E-2</v>
      </c>
      <c r="D22" s="19">
        <v>1.7000000000000001E-2</v>
      </c>
      <c r="E22" s="19">
        <f t="shared" si="0"/>
        <v>1.9333333333333331E-2</v>
      </c>
      <c r="F22" s="19">
        <f t="shared" si="1"/>
        <v>1.833333333333333E-2</v>
      </c>
      <c r="G22" s="24">
        <f t="shared" si="2"/>
        <v>4.8528528528528536</v>
      </c>
      <c r="H22" s="24">
        <f t="shared" si="3"/>
        <v>258.81881881881884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35">
      <c r="A23" s="17">
        <v>62</v>
      </c>
      <c r="B23" s="19">
        <v>1.2E-2</v>
      </c>
      <c r="C23" s="19">
        <v>1.0999999999999999E-2</v>
      </c>
      <c r="D23" s="19">
        <v>6.0000000000000001E-3</v>
      </c>
      <c r="E23" s="19">
        <f t="shared" si="0"/>
        <v>9.6666666666666654E-3</v>
      </c>
      <c r="F23" s="19">
        <f t="shared" si="1"/>
        <v>8.6666666666666663E-3</v>
      </c>
      <c r="G23" s="24">
        <f t="shared" si="2"/>
        <v>5.7237237237237233</v>
      </c>
      <c r="H23" s="24">
        <f t="shared" si="3"/>
        <v>305.26526526526521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35">
      <c r="A24" s="17">
        <v>63</v>
      </c>
      <c r="B24" s="19">
        <v>5.8999999999999997E-2</v>
      </c>
      <c r="C24" s="19">
        <v>6.4000000000000001E-2</v>
      </c>
      <c r="D24" s="19">
        <v>6.3E-2</v>
      </c>
      <c r="E24" s="19">
        <f t="shared" si="0"/>
        <v>6.2E-2</v>
      </c>
      <c r="F24" s="19">
        <f t="shared" si="1"/>
        <v>6.0999999999999999E-2</v>
      </c>
      <c r="G24" s="24">
        <f t="shared" si="2"/>
        <v>1.0090090090090091</v>
      </c>
      <c r="H24" s="24">
        <f t="shared" si="3"/>
        <v>53.813813813813816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35">
      <c r="A25" s="17">
        <v>64</v>
      </c>
      <c r="B25" s="19">
        <v>5.8999999999999997E-2</v>
      </c>
      <c r="C25" s="19">
        <v>6.5000000000000002E-2</v>
      </c>
      <c r="D25" s="19">
        <v>6.0999999999999999E-2</v>
      </c>
      <c r="E25" s="19">
        <f t="shared" si="0"/>
        <v>6.1666666666666668E-2</v>
      </c>
      <c r="F25" s="19">
        <f t="shared" si="1"/>
        <v>6.0666666666666667E-2</v>
      </c>
      <c r="G25" s="24">
        <f t="shared" si="2"/>
        <v>1.0390390390390389</v>
      </c>
      <c r="H25" s="24">
        <f t="shared" si="3"/>
        <v>55.41541541541541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35">
      <c r="A26" s="17">
        <v>65</v>
      </c>
      <c r="B26" s="19">
        <v>7.0999999999999994E-2</v>
      </c>
      <c r="C26" s="19">
        <v>6.7000000000000004E-2</v>
      </c>
      <c r="D26" s="19">
        <v>6.6000000000000003E-2</v>
      </c>
      <c r="E26" s="19">
        <f t="shared" si="0"/>
        <v>6.8000000000000005E-2</v>
      </c>
      <c r="F26" s="19">
        <f t="shared" si="1"/>
        <v>6.7000000000000004E-2</v>
      </c>
      <c r="G26" s="24">
        <f t="shared" si="2"/>
        <v>0.46846846846846812</v>
      </c>
      <c r="H26" s="24">
        <f t="shared" si="3"/>
        <v>24.984984984984965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35">
      <c r="A27" s="17">
        <v>66</v>
      </c>
      <c r="B27" s="19">
        <v>7.1999999999999995E-2</v>
      </c>
      <c r="C27" s="19">
        <v>7.2999999999999995E-2</v>
      </c>
      <c r="D27" s="19">
        <v>7.0000000000000007E-2</v>
      </c>
      <c r="E27" s="19">
        <f t="shared" si="0"/>
        <v>7.166666666666667E-2</v>
      </c>
      <c r="F27" s="19">
        <f t="shared" si="1"/>
        <v>7.0666666666666669E-2</v>
      </c>
      <c r="G27" s="24">
        <f t="shared" si="2"/>
        <v>0.13813813813813791</v>
      </c>
      <c r="H27" s="24">
        <f t="shared" si="3"/>
        <v>7.3673673673673559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35">
      <c r="A28" s="17">
        <v>67</v>
      </c>
      <c r="B28" s="19">
        <v>6.7000000000000004E-2</v>
      </c>
      <c r="C28" s="19">
        <v>6.3E-2</v>
      </c>
      <c r="D28" s="19">
        <v>6.7000000000000004E-2</v>
      </c>
      <c r="E28" s="19">
        <f t="shared" si="0"/>
        <v>6.5666666666666665E-2</v>
      </c>
      <c r="F28" s="19">
        <f t="shared" si="1"/>
        <v>6.4666666666666664E-2</v>
      </c>
      <c r="G28" s="24">
        <f t="shared" si="2"/>
        <v>0.67867867867867893</v>
      </c>
      <c r="H28" s="24">
        <f t="shared" si="3"/>
        <v>36.196196196196205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x14ac:dyDescent="0.35">
      <c r="A29" s="17">
        <v>68</v>
      </c>
      <c r="B29" s="19">
        <v>6.4000000000000001E-2</v>
      </c>
      <c r="C29" s="19">
        <v>6.2E-2</v>
      </c>
      <c r="D29" s="19">
        <v>0.05</v>
      </c>
      <c r="E29" s="19">
        <f t="shared" si="0"/>
        <v>5.8666666666666666E-2</v>
      </c>
      <c r="F29" s="19">
        <f t="shared" si="1"/>
        <v>5.7666666666666665E-2</v>
      </c>
      <c r="G29" s="24">
        <f t="shared" si="2"/>
        <v>1.3093093093093096</v>
      </c>
      <c r="H29" s="24">
        <f t="shared" si="3"/>
        <v>69.829829829829862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x14ac:dyDescent="0.35">
      <c r="A30" s="17">
        <v>69</v>
      </c>
      <c r="B30" s="19">
        <v>3.2000000000000001E-2</v>
      </c>
      <c r="C30" s="19">
        <v>3.6999999999999998E-2</v>
      </c>
      <c r="D30" s="19">
        <v>0.03</v>
      </c>
      <c r="E30" s="19">
        <f t="shared" si="0"/>
        <v>3.3000000000000002E-2</v>
      </c>
      <c r="F30" s="19">
        <f t="shared" si="1"/>
        <v>3.2000000000000001E-2</v>
      </c>
      <c r="G30" s="24">
        <f t="shared" si="2"/>
        <v>3.6216216216216215</v>
      </c>
      <c r="H30" s="24">
        <f t="shared" si="3"/>
        <v>193.15315315315314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x14ac:dyDescent="0.35">
      <c r="A31" s="17">
        <v>70</v>
      </c>
      <c r="B31" s="19">
        <v>4.7E-2</v>
      </c>
      <c r="C31" s="19">
        <v>5.3999999999999999E-2</v>
      </c>
      <c r="D31" s="19">
        <v>4.3999999999999997E-2</v>
      </c>
      <c r="E31" s="19">
        <f t="shared" si="0"/>
        <v>4.8333333333333339E-2</v>
      </c>
      <c r="F31" s="19">
        <f t="shared" si="1"/>
        <v>4.7333333333333338E-2</v>
      </c>
      <c r="G31" s="24">
        <f t="shared" si="2"/>
        <v>2.2402402402402397</v>
      </c>
      <c r="H31" s="24">
        <f t="shared" si="3"/>
        <v>119.47947947947944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x14ac:dyDescent="0.35">
      <c r="A32" s="17">
        <v>71</v>
      </c>
      <c r="B32" s="19">
        <v>7.0000000000000001E-3</v>
      </c>
      <c r="C32" s="19">
        <v>4.0000000000000001E-3</v>
      </c>
      <c r="D32" s="19">
        <v>4.0000000000000001E-3</v>
      </c>
      <c r="E32" s="19">
        <f t="shared" si="0"/>
        <v>5.0000000000000001E-3</v>
      </c>
      <c r="F32" s="19">
        <f t="shared" si="1"/>
        <v>4.0000000000000001E-3</v>
      </c>
      <c r="G32" s="24">
        <f t="shared" si="2"/>
        <v>6.1441441441441436</v>
      </c>
      <c r="H32" s="24">
        <f t="shared" si="3"/>
        <v>327.68768768768768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x14ac:dyDescent="0.35">
      <c r="A33" s="17">
        <v>72</v>
      </c>
      <c r="B33" s="19">
        <v>0.01</v>
      </c>
      <c r="C33" s="19">
        <v>0.09</v>
      </c>
      <c r="D33" s="19">
        <v>1.4E-2</v>
      </c>
      <c r="E33" s="19">
        <f t="shared" si="0"/>
        <v>3.7999999999999999E-2</v>
      </c>
      <c r="F33" s="19">
        <f t="shared" si="1"/>
        <v>3.6999999999999998E-2</v>
      </c>
      <c r="G33" s="24">
        <f t="shared" si="2"/>
        <v>3.1711711711711712</v>
      </c>
      <c r="H33" s="24">
        <f t="shared" si="3"/>
        <v>169.12912912912915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x14ac:dyDescent="0.35">
      <c r="A34" s="17">
        <v>73</v>
      </c>
      <c r="B34" s="19">
        <v>3.7999999999999999E-2</v>
      </c>
      <c r="C34" s="19">
        <v>3.5999999999999997E-2</v>
      </c>
      <c r="D34" s="19">
        <v>4.4999999999999998E-2</v>
      </c>
      <c r="E34" s="19">
        <f t="shared" si="0"/>
        <v>3.9666666666666663E-2</v>
      </c>
      <c r="F34" s="19">
        <f t="shared" si="1"/>
        <v>3.8666666666666662E-2</v>
      </c>
      <c r="G34" s="24">
        <f t="shared" si="2"/>
        <v>3.0210210210210215</v>
      </c>
      <c r="H34" s="24">
        <f t="shared" si="3"/>
        <v>161.12112112112115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x14ac:dyDescent="0.35">
      <c r="A35" s="17">
        <v>74</v>
      </c>
      <c r="B35" s="19">
        <v>8.9999999999999993E-3</v>
      </c>
      <c r="C35" s="19">
        <v>8.0000000000000002E-3</v>
      </c>
      <c r="D35" s="19">
        <v>1.4E-2</v>
      </c>
      <c r="E35" s="19">
        <f t="shared" si="0"/>
        <v>1.0333333333333333E-2</v>
      </c>
      <c r="F35" s="19">
        <f t="shared" si="1"/>
        <v>9.3333333333333324E-3</v>
      </c>
      <c r="G35" s="24">
        <f t="shared" si="2"/>
        <v>5.6636636636636633</v>
      </c>
      <c r="H35" s="24">
        <f t="shared" si="3"/>
        <v>302.06206206206207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x14ac:dyDescent="0.35">
      <c r="A36" s="17">
        <v>75</v>
      </c>
      <c r="B36" s="19">
        <v>5.0000000000000001E-3</v>
      </c>
      <c r="C36" s="19">
        <v>4.0000000000000001E-3</v>
      </c>
      <c r="D36" s="19">
        <v>4.0000000000000001E-3</v>
      </c>
      <c r="E36" s="19">
        <f t="shared" si="0"/>
        <v>4.333333333333334E-3</v>
      </c>
      <c r="F36" s="19">
        <f t="shared" si="1"/>
        <v>3.333333333333334E-3</v>
      </c>
      <c r="G36" s="24">
        <f t="shared" si="2"/>
        <v>6.2042042042042036</v>
      </c>
      <c r="H36" s="24">
        <f t="shared" si="3"/>
        <v>330.89089089089083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35">
      <c r="A37" s="17">
        <v>76</v>
      </c>
      <c r="B37" s="19">
        <v>3.3000000000000002E-2</v>
      </c>
      <c r="C37" s="19">
        <v>2.8000000000000001E-2</v>
      </c>
      <c r="D37" s="19">
        <v>3.1E-2</v>
      </c>
      <c r="E37" s="19">
        <f t="shared" si="0"/>
        <v>3.0666666666666665E-2</v>
      </c>
      <c r="F37" s="19">
        <f t="shared" si="1"/>
        <v>2.9666666666666664E-2</v>
      </c>
      <c r="G37" s="24">
        <f t="shared" si="2"/>
        <v>3.8318318318318321</v>
      </c>
      <c r="H37" s="24">
        <f t="shared" si="3"/>
        <v>204.36436436436438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35">
      <c r="A38" s="17">
        <v>77</v>
      </c>
      <c r="B38" s="19">
        <v>1.4E-2</v>
      </c>
      <c r="C38" s="19">
        <v>0.01</v>
      </c>
      <c r="D38" s="19">
        <v>8.9999999999999993E-3</v>
      </c>
      <c r="E38" s="19">
        <f t="shared" si="0"/>
        <v>1.1000000000000001E-2</v>
      </c>
      <c r="F38" s="19">
        <f t="shared" si="1"/>
        <v>1.0000000000000002E-2</v>
      </c>
      <c r="G38" s="24">
        <f t="shared" si="2"/>
        <v>5.6036036036036032</v>
      </c>
      <c r="H38" s="24">
        <f t="shared" si="3"/>
        <v>298.85885885885887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35">
      <c r="A39" s="17">
        <v>78</v>
      </c>
      <c r="B39" s="19">
        <v>2.5000000000000001E-2</v>
      </c>
      <c r="C39" s="19">
        <v>2.7E-2</v>
      </c>
      <c r="D39" s="19">
        <v>2.1999999999999999E-2</v>
      </c>
      <c r="E39" s="19">
        <f t="shared" si="0"/>
        <v>2.466666666666667E-2</v>
      </c>
      <c r="F39" s="19">
        <f t="shared" si="1"/>
        <v>2.3666666666666669E-2</v>
      </c>
      <c r="G39" s="24">
        <f t="shared" si="2"/>
        <v>4.3723723723723724</v>
      </c>
      <c r="H39" s="24">
        <f t="shared" si="3"/>
        <v>233.1931931931932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35">
      <c r="A40" s="17">
        <v>79</v>
      </c>
      <c r="B40" s="19">
        <v>3.2000000000000001E-2</v>
      </c>
      <c r="C40" s="19">
        <v>2.7E-2</v>
      </c>
      <c r="D40" s="19">
        <v>0.03</v>
      </c>
      <c r="E40" s="19">
        <f t="shared" si="0"/>
        <v>2.9666666666666664E-2</v>
      </c>
      <c r="F40" s="19">
        <f t="shared" si="1"/>
        <v>2.8666666666666663E-2</v>
      </c>
      <c r="G40" s="24">
        <f t="shared" si="2"/>
        <v>3.9219219219219226</v>
      </c>
      <c r="H40" s="24">
        <f t="shared" si="3"/>
        <v>209.16916916916918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x14ac:dyDescent="0.35">
      <c r="A41" s="17">
        <v>80</v>
      </c>
      <c r="B41" s="19">
        <v>1.6E-2</v>
      </c>
      <c r="C41" s="19">
        <v>1.2999999999999999E-2</v>
      </c>
      <c r="D41" s="19">
        <v>1.6E-2</v>
      </c>
      <c r="E41" s="19">
        <f t="shared" si="0"/>
        <v>1.4999999999999999E-2</v>
      </c>
      <c r="F41" s="19">
        <f t="shared" si="1"/>
        <v>1.3999999999999999E-2</v>
      </c>
      <c r="G41" s="24">
        <f t="shared" si="2"/>
        <v>5.243243243243243</v>
      </c>
      <c r="H41" s="24">
        <f t="shared" si="3"/>
        <v>279.6396396396396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35">
      <c r="A42" s="17">
        <v>129</v>
      </c>
      <c r="B42" s="19">
        <v>4.7E-2</v>
      </c>
      <c r="C42" s="19">
        <v>4.4999999999999998E-2</v>
      </c>
      <c r="D42" s="19">
        <v>4.9000000000000002E-2</v>
      </c>
      <c r="E42" s="19">
        <f t="shared" si="0"/>
        <v>4.7000000000000007E-2</v>
      </c>
      <c r="F42" s="19">
        <f t="shared" si="1"/>
        <v>4.6000000000000006E-2</v>
      </c>
      <c r="G42" s="24">
        <f t="shared" si="2"/>
        <v>2.3603603603603598</v>
      </c>
      <c r="H42" s="24">
        <f t="shared" si="3"/>
        <v>125.88588588588586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x14ac:dyDescent="0.35">
      <c r="A43" s="17">
        <v>130</v>
      </c>
      <c r="B43" s="19">
        <v>4.9000000000000002E-2</v>
      </c>
      <c r="C43" s="19">
        <v>0.05</v>
      </c>
      <c r="D43" s="19">
        <v>4.9000000000000002E-2</v>
      </c>
      <c r="E43" s="19">
        <f t="shared" si="0"/>
        <v>4.933333333333334E-2</v>
      </c>
      <c r="F43" s="19">
        <f t="shared" si="1"/>
        <v>4.8333333333333339E-2</v>
      </c>
      <c r="G43" s="24">
        <f t="shared" si="2"/>
        <v>2.1501501501501497</v>
      </c>
      <c r="H43" s="24">
        <f t="shared" si="3"/>
        <v>114.67467467467465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35">
      <c r="A44" s="17">
        <v>131</v>
      </c>
      <c r="B44" s="19">
        <v>3.9E-2</v>
      </c>
      <c r="C44" s="19">
        <v>3.2000000000000001E-2</v>
      </c>
      <c r="D44" s="19">
        <v>3.7999999999999999E-2</v>
      </c>
      <c r="E44" s="19">
        <f t="shared" si="0"/>
        <v>3.6333333333333336E-2</v>
      </c>
      <c r="F44" s="19">
        <f t="shared" si="1"/>
        <v>3.5333333333333335E-2</v>
      </c>
      <c r="G44" s="24">
        <f t="shared" si="2"/>
        <v>3.3213213213213213</v>
      </c>
      <c r="H44" s="24">
        <f t="shared" si="3"/>
        <v>177.13713713713713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x14ac:dyDescent="0.35">
      <c r="A45" s="17">
        <v>132</v>
      </c>
      <c r="B45" s="19">
        <v>4.7E-2</v>
      </c>
      <c r="C45" s="19">
        <v>5.2999999999999999E-2</v>
      </c>
      <c r="D45" s="19">
        <v>0.05</v>
      </c>
      <c r="E45" s="19">
        <f t="shared" si="0"/>
        <v>5.000000000000001E-2</v>
      </c>
      <c r="F45" s="19">
        <f t="shared" si="1"/>
        <v>4.9000000000000009E-2</v>
      </c>
      <c r="G45" s="24">
        <f t="shared" si="2"/>
        <v>2.0900900900900892</v>
      </c>
      <c r="H45" s="24">
        <f t="shared" si="3"/>
        <v>111.47147147147143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35">
      <c r="A46" s="17">
        <v>133</v>
      </c>
      <c r="B46" s="19">
        <v>3.7999999999999999E-2</v>
      </c>
      <c r="C46" s="19">
        <v>3.9E-2</v>
      </c>
      <c r="D46" s="19">
        <v>3.7999999999999999E-2</v>
      </c>
      <c r="E46" s="19">
        <f t="shared" si="0"/>
        <v>3.833333333333333E-2</v>
      </c>
      <c r="F46" s="19">
        <f t="shared" si="1"/>
        <v>3.7333333333333329E-2</v>
      </c>
      <c r="G46" s="24">
        <f t="shared" si="2"/>
        <v>3.1411411411411412</v>
      </c>
      <c r="H46" s="24">
        <f t="shared" si="3"/>
        <v>167.52752752752752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x14ac:dyDescent="0.35">
      <c r="A47" s="17">
        <v>134</v>
      </c>
      <c r="B47" s="19">
        <v>0.05</v>
      </c>
      <c r="C47" s="19">
        <v>4.9000000000000002E-2</v>
      </c>
      <c r="D47" s="19">
        <v>0.05</v>
      </c>
      <c r="E47" s="19">
        <f t="shared" si="0"/>
        <v>4.9666666666666671E-2</v>
      </c>
      <c r="F47" s="19">
        <f t="shared" si="1"/>
        <v>4.8666666666666671E-2</v>
      </c>
      <c r="G47" s="24">
        <f t="shared" si="2"/>
        <v>2.1201201201201196</v>
      </c>
      <c r="H47" s="24">
        <f t="shared" si="3"/>
        <v>113.07307307307303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35">
      <c r="A48" s="17">
        <v>135</v>
      </c>
      <c r="B48" s="19">
        <v>0.06</v>
      </c>
      <c r="C48" s="19">
        <v>5.8000000000000003E-2</v>
      </c>
      <c r="D48" s="19">
        <v>5.2999999999999999E-2</v>
      </c>
      <c r="E48" s="19">
        <f t="shared" si="0"/>
        <v>5.6999999999999995E-2</v>
      </c>
      <c r="F48" s="19">
        <f t="shared" si="1"/>
        <v>5.5999999999999994E-2</v>
      </c>
      <c r="G48" s="24">
        <f t="shared" si="2"/>
        <v>1.4594594594594599</v>
      </c>
      <c r="H48" s="24">
        <f t="shared" si="3"/>
        <v>77.837837837837867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x14ac:dyDescent="0.35">
      <c r="A49" s="17">
        <v>136</v>
      </c>
      <c r="B49" s="19">
        <v>5.8000000000000003E-2</v>
      </c>
      <c r="C49" s="19">
        <v>6.4000000000000001E-2</v>
      </c>
      <c r="D49" s="19">
        <v>5.7000000000000002E-2</v>
      </c>
      <c r="E49" s="19">
        <f t="shared" si="0"/>
        <v>5.9666666666666666E-2</v>
      </c>
      <c r="F49" s="19">
        <f t="shared" si="1"/>
        <v>5.8666666666666666E-2</v>
      </c>
      <c r="G49" s="24">
        <f t="shared" si="2"/>
        <v>1.2192192192192193</v>
      </c>
      <c r="H49" s="24">
        <f t="shared" si="3"/>
        <v>65.02502502502503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35">
      <c r="A50" s="17">
        <v>137</v>
      </c>
      <c r="B50" s="19">
        <v>4.4999999999999998E-2</v>
      </c>
      <c r="C50" s="19">
        <v>0.04</v>
      </c>
      <c r="D50" s="19">
        <v>4.2999999999999997E-2</v>
      </c>
      <c r="E50" s="19">
        <f t="shared" si="0"/>
        <v>4.2666666666666665E-2</v>
      </c>
      <c r="F50" s="19">
        <f t="shared" si="1"/>
        <v>4.1666666666666664E-2</v>
      </c>
      <c r="G50" s="24">
        <f t="shared" si="2"/>
        <v>2.7507507507507509</v>
      </c>
      <c r="H50" s="24">
        <f t="shared" si="3"/>
        <v>146.70670670670674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35">
      <c r="A51" s="17">
        <v>138</v>
      </c>
      <c r="B51" s="19">
        <v>3.5999999999999997E-2</v>
      </c>
      <c r="C51" s="19">
        <v>3.2000000000000001E-2</v>
      </c>
      <c r="D51" s="19">
        <v>3.4000000000000002E-2</v>
      </c>
      <c r="E51" s="19">
        <f t="shared" si="0"/>
        <v>3.4000000000000002E-2</v>
      </c>
      <c r="F51" s="19">
        <f t="shared" si="1"/>
        <v>3.3000000000000002E-2</v>
      </c>
      <c r="G51" s="24">
        <f t="shared" si="2"/>
        <v>3.5315315315315314</v>
      </c>
      <c r="H51" s="24">
        <f t="shared" si="3"/>
        <v>188.34834834834834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35">
      <c r="A52" s="17">
        <v>139</v>
      </c>
      <c r="B52" s="19">
        <v>1.0999999999999999E-2</v>
      </c>
      <c r="C52" s="19">
        <v>0.01</v>
      </c>
      <c r="D52" s="19">
        <v>1.6E-2</v>
      </c>
      <c r="E52" s="19">
        <f t="shared" si="0"/>
        <v>1.2333333333333333E-2</v>
      </c>
      <c r="F52" s="19">
        <f t="shared" si="1"/>
        <v>1.1333333333333334E-2</v>
      </c>
      <c r="G52" s="24">
        <f t="shared" si="2"/>
        <v>5.4834834834834831</v>
      </c>
      <c r="H52" s="24">
        <f t="shared" si="3"/>
        <v>292.45245245245241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35">
      <c r="A53" s="17">
        <v>140</v>
      </c>
      <c r="B53" s="19">
        <v>2.4E-2</v>
      </c>
      <c r="C53" s="19">
        <v>2.4E-2</v>
      </c>
      <c r="D53" s="19">
        <v>2.7E-2</v>
      </c>
      <c r="E53" s="19">
        <f t="shared" si="0"/>
        <v>2.4999999999999998E-2</v>
      </c>
      <c r="F53" s="19">
        <f t="shared" si="1"/>
        <v>2.3999999999999997E-2</v>
      </c>
      <c r="G53" s="24">
        <f t="shared" si="2"/>
        <v>4.3423423423423424</v>
      </c>
      <c r="H53" s="24">
        <f t="shared" si="3"/>
        <v>231.59159159159162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x14ac:dyDescent="0.35">
      <c r="A54" s="17">
        <v>141</v>
      </c>
      <c r="B54" s="19">
        <v>1.7000000000000001E-2</v>
      </c>
      <c r="C54" s="19">
        <v>1.9E-2</v>
      </c>
      <c r="D54" s="19">
        <v>1.7999999999999999E-2</v>
      </c>
      <c r="E54" s="19">
        <f t="shared" si="0"/>
        <v>1.8000000000000002E-2</v>
      </c>
      <c r="F54" s="19">
        <f t="shared" si="1"/>
        <v>1.7000000000000001E-2</v>
      </c>
      <c r="G54" s="24">
        <f t="shared" si="2"/>
        <v>4.9729729729729728</v>
      </c>
      <c r="H54" s="24">
        <f t="shared" si="3"/>
        <v>265.22522522522524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35">
      <c r="A55" s="17">
        <v>142</v>
      </c>
      <c r="B55" s="19">
        <v>1.9E-2</v>
      </c>
      <c r="C55" s="19">
        <v>2.3E-2</v>
      </c>
      <c r="D55" s="19">
        <v>3.1E-2</v>
      </c>
      <c r="E55" s="19">
        <f t="shared" si="0"/>
        <v>2.4333333333333332E-2</v>
      </c>
      <c r="F55" s="19">
        <f t="shared" si="1"/>
        <v>2.3333333333333331E-2</v>
      </c>
      <c r="G55" s="24">
        <f t="shared" si="2"/>
        <v>4.4024024024024024</v>
      </c>
      <c r="H55" s="24">
        <f t="shared" si="3"/>
        <v>234.79479479479483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35">
      <c r="A56" s="17">
        <v>143</v>
      </c>
      <c r="B56" s="19">
        <v>1.2E-2</v>
      </c>
      <c r="C56" s="19">
        <v>1.7999999999999999E-2</v>
      </c>
      <c r="D56" s="19">
        <v>1.2E-2</v>
      </c>
      <c r="E56" s="19">
        <f t="shared" si="0"/>
        <v>1.3999999999999999E-2</v>
      </c>
      <c r="F56" s="19">
        <f t="shared" si="1"/>
        <v>1.2999999999999998E-2</v>
      </c>
      <c r="G56" s="24">
        <f t="shared" si="2"/>
        <v>5.333333333333333</v>
      </c>
      <c r="H56" s="24">
        <f t="shared" si="3"/>
        <v>284.4444444444444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35">
      <c r="A57" s="17">
        <v>144</v>
      </c>
      <c r="B57" s="19">
        <v>1.9E-2</v>
      </c>
      <c r="C57" s="19">
        <v>1.4999999999999999E-2</v>
      </c>
      <c r="D57" s="19">
        <v>8.0000000000000002E-3</v>
      </c>
      <c r="E57" s="19">
        <f t="shared" si="0"/>
        <v>1.4E-2</v>
      </c>
      <c r="F57" s="19">
        <f t="shared" si="1"/>
        <v>1.3000000000000001E-2</v>
      </c>
      <c r="G57" s="24">
        <f t="shared" si="2"/>
        <v>5.333333333333333</v>
      </c>
      <c r="H57" s="24">
        <f t="shared" si="3"/>
        <v>284.4444444444444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35">
      <c r="A58" s="17">
        <v>145</v>
      </c>
      <c r="B58" s="19">
        <v>2.7E-2</v>
      </c>
      <c r="C58" s="19">
        <v>2.4E-2</v>
      </c>
      <c r="D58" s="19">
        <v>2.1000000000000001E-2</v>
      </c>
      <c r="E58" s="19">
        <f t="shared" si="0"/>
        <v>2.4000000000000004E-2</v>
      </c>
      <c r="F58" s="19">
        <f t="shared" si="1"/>
        <v>2.3000000000000003E-2</v>
      </c>
      <c r="G58" s="24">
        <f t="shared" si="2"/>
        <v>4.4324324324324316</v>
      </c>
      <c r="H58" s="24">
        <f t="shared" si="3"/>
        <v>236.39639639639634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x14ac:dyDescent="0.35">
      <c r="A59" s="17">
        <v>146</v>
      </c>
      <c r="B59" s="19">
        <v>0.02</v>
      </c>
      <c r="C59" s="19">
        <v>0.02</v>
      </c>
      <c r="D59" s="19">
        <v>1.6E-2</v>
      </c>
      <c r="E59" s="19">
        <f t="shared" si="0"/>
        <v>1.8666666666666668E-2</v>
      </c>
      <c r="F59" s="19">
        <f t="shared" si="1"/>
        <v>1.7666666666666667E-2</v>
      </c>
      <c r="G59" s="24">
        <f t="shared" si="2"/>
        <v>4.9129129129129128</v>
      </c>
      <c r="H59" s="24">
        <f t="shared" si="3"/>
        <v>262.02202202202199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35">
      <c r="A60" s="17">
        <v>147</v>
      </c>
      <c r="B60" s="19">
        <v>2.8000000000000001E-2</v>
      </c>
      <c r="C60" s="19">
        <v>2.4E-2</v>
      </c>
      <c r="D60" s="19">
        <v>2.8000000000000001E-2</v>
      </c>
      <c r="E60" s="19">
        <f t="shared" si="0"/>
        <v>2.6666666666666668E-2</v>
      </c>
      <c r="F60" s="19">
        <f t="shared" si="1"/>
        <v>2.5666666666666667E-2</v>
      </c>
      <c r="G60" s="24">
        <f t="shared" si="2"/>
        <v>4.1921921921921914</v>
      </c>
      <c r="H60" s="24">
        <f t="shared" si="3"/>
        <v>223.58358358358353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x14ac:dyDescent="0.35">
      <c r="A61" s="17">
        <v>148</v>
      </c>
      <c r="B61" s="19">
        <v>8.9999999999999993E-3</v>
      </c>
      <c r="C61" s="19">
        <v>1.0999999999999999E-2</v>
      </c>
      <c r="D61" s="19">
        <v>8.0000000000000002E-3</v>
      </c>
      <c r="E61" s="19">
        <f t="shared" si="0"/>
        <v>9.3333333333333324E-3</v>
      </c>
      <c r="F61" s="19">
        <f t="shared" si="1"/>
        <v>8.3333333333333315E-3</v>
      </c>
      <c r="G61" s="24">
        <f t="shared" si="2"/>
        <v>5.7537537537537533</v>
      </c>
      <c r="H61" s="24">
        <f t="shared" si="3"/>
        <v>306.86686686686687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35">
      <c r="A62" s="17">
        <v>187</v>
      </c>
      <c r="B62" s="19">
        <v>1.4999999999999999E-2</v>
      </c>
      <c r="C62" s="19">
        <v>1.4E-2</v>
      </c>
      <c r="D62" s="19">
        <v>1.6E-2</v>
      </c>
      <c r="E62" s="19">
        <f t="shared" si="0"/>
        <v>1.4999999999999999E-2</v>
      </c>
      <c r="F62" s="19">
        <f t="shared" si="1"/>
        <v>1.3999999999999999E-2</v>
      </c>
      <c r="G62" s="24">
        <f t="shared" si="2"/>
        <v>5.243243243243243</v>
      </c>
      <c r="H62" s="24">
        <f t="shared" si="3"/>
        <v>279.6396396396396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x14ac:dyDescent="0.35">
      <c r="A63" s="17">
        <v>188</v>
      </c>
      <c r="B63" s="19">
        <v>2.3E-2</v>
      </c>
      <c r="C63" s="19">
        <v>2.5000000000000001E-2</v>
      </c>
      <c r="D63" s="19">
        <v>1.9E-2</v>
      </c>
      <c r="E63" s="19">
        <f t="shared" si="0"/>
        <v>2.2333333333333334E-2</v>
      </c>
      <c r="F63" s="19">
        <f t="shared" si="1"/>
        <v>2.1333333333333333E-2</v>
      </c>
      <c r="G63" s="24">
        <f t="shared" si="2"/>
        <v>4.5825825825825826</v>
      </c>
      <c r="H63" s="24">
        <f t="shared" si="3"/>
        <v>244.4044044044044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35">
      <c r="A64" s="17">
        <v>189</v>
      </c>
      <c r="B64" s="19">
        <v>1.2E-2</v>
      </c>
      <c r="C64" s="19">
        <v>1.2E-2</v>
      </c>
      <c r="D64" s="19">
        <v>8.0000000000000002E-3</v>
      </c>
      <c r="E64" s="19">
        <f t="shared" si="0"/>
        <v>1.0666666666666666E-2</v>
      </c>
      <c r="F64" s="19">
        <f t="shared" si="1"/>
        <v>9.6666666666666672E-3</v>
      </c>
      <c r="G64" s="24">
        <f t="shared" si="2"/>
        <v>5.6336336336336332</v>
      </c>
      <c r="H64" s="24">
        <f t="shared" si="3"/>
        <v>300.46046046046047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x14ac:dyDescent="0.35">
      <c r="A65" s="17">
        <v>190</v>
      </c>
      <c r="B65" s="19">
        <v>3.5000000000000003E-2</v>
      </c>
      <c r="C65" s="19">
        <v>3.2000000000000001E-2</v>
      </c>
      <c r="D65" s="19">
        <v>3.5000000000000003E-2</v>
      </c>
      <c r="E65" s="19">
        <f t="shared" si="0"/>
        <v>3.4000000000000002E-2</v>
      </c>
      <c r="F65" s="19">
        <f t="shared" si="1"/>
        <v>3.3000000000000002E-2</v>
      </c>
      <c r="G65" s="24">
        <f t="shared" si="2"/>
        <v>3.5315315315315314</v>
      </c>
      <c r="H65" s="24">
        <f t="shared" si="3"/>
        <v>188.34834834834834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35">
      <c r="A66" s="17">
        <v>191</v>
      </c>
      <c r="B66" s="19">
        <v>0.02</v>
      </c>
      <c r="C66" s="19">
        <v>2.3E-2</v>
      </c>
      <c r="D66" s="19">
        <v>2.3E-2</v>
      </c>
      <c r="E66" s="19">
        <f t="shared" si="0"/>
        <v>2.2000000000000002E-2</v>
      </c>
      <c r="F66" s="19">
        <f t="shared" si="1"/>
        <v>2.1000000000000001E-2</v>
      </c>
      <c r="G66" s="24">
        <f t="shared" si="2"/>
        <v>4.6126126126126117</v>
      </c>
      <c r="H66" s="24">
        <f t="shared" si="3"/>
        <v>246.00600600600598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x14ac:dyDescent="0.35">
      <c r="A67" s="17">
        <v>192</v>
      </c>
      <c r="B67" s="19">
        <v>5.6000000000000001E-2</v>
      </c>
      <c r="C67" s="19">
        <v>5.8000000000000003E-2</v>
      </c>
      <c r="D67" s="19">
        <v>6.4000000000000001E-2</v>
      </c>
      <c r="E67" s="19">
        <f t="shared" si="0"/>
        <v>5.9333333333333328E-2</v>
      </c>
      <c r="F67" s="19">
        <f t="shared" si="1"/>
        <v>5.8333333333333327E-2</v>
      </c>
      <c r="G67" s="24">
        <f t="shared" si="2"/>
        <v>1.2492492492492497</v>
      </c>
      <c r="H67" s="24">
        <f t="shared" si="3"/>
        <v>66.626626626626646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35">
      <c r="A68" s="17">
        <v>193</v>
      </c>
      <c r="B68" s="19">
        <v>1.9E-2</v>
      </c>
      <c r="C68" s="19">
        <v>2.3E-2</v>
      </c>
      <c r="D68" s="19">
        <v>2.8000000000000001E-2</v>
      </c>
      <c r="E68" s="19">
        <f t="shared" si="0"/>
        <v>2.3333333333333331E-2</v>
      </c>
      <c r="F68" s="19">
        <f t="shared" si="1"/>
        <v>2.233333333333333E-2</v>
      </c>
      <c r="G68" s="24">
        <f t="shared" si="2"/>
        <v>4.4924924924924925</v>
      </c>
      <c r="H68" s="24">
        <f t="shared" si="3"/>
        <v>239.5995995995996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35">
      <c r="A69" s="17">
        <v>194</v>
      </c>
      <c r="B69" s="19">
        <v>6.0999999999999999E-2</v>
      </c>
      <c r="C69" s="19">
        <v>6.3E-2</v>
      </c>
      <c r="D69" s="19">
        <v>6.6000000000000003E-2</v>
      </c>
      <c r="E69" s="19">
        <f t="shared" si="0"/>
        <v>6.3333333333333339E-2</v>
      </c>
      <c r="F69" s="19">
        <f t="shared" si="1"/>
        <v>6.2333333333333338E-2</v>
      </c>
      <c r="G69" s="24">
        <f t="shared" si="2"/>
        <v>0.88888888888888851</v>
      </c>
      <c r="H69" s="24">
        <f t="shared" si="3"/>
        <v>47.407407407407391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35">
      <c r="A70" s="17">
        <v>195</v>
      </c>
      <c r="B70" s="19">
        <v>7.0000000000000007E-2</v>
      </c>
      <c r="C70" s="19">
        <v>6.4000000000000001E-2</v>
      </c>
      <c r="D70" s="19">
        <v>6.9000000000000006E-2</v>
      </c>
      <c r="E70" s="19">
        <f t="shared" si="0"/>
        <v>6.7666666666666667E-2</v>
      </c>
      <c r="F70" s="19">
        <f t="shared" si="1"/>
        <v>6.6666666666666666E-2</v>
      </c>
      <c r="G70" s="24">
        <f t="shared" si="2"/>
        <v>0.49849849849849859</v>
      </c>
      <c r="H70" s="24">
        <f t="shared" si="3"/>
        <v>26.586586586586595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35">
      <c r="A71" s="17">
        <v>196</v>
      </c>
      <c r="B71" s="19">
        <v>6.3E-2</v>
      </c>
      <c r="C71" s="19">
        <v>6.4000000000000001E-2</v>
      </c>
      <c r="D71" s="19">
        <v>7.1999999999999995E-2</v>
      </c>
      <c r="E71" s="19">
        <f t="shared" si="0"/>
        <v>6.6333333333333341E-2</v>
      </c>
      <c r="F71" s="19">
        <f t="shared" si="1"/>
        <v>6.533333333333334E-2</v>
      </c>
      <c r="G71" s="24">
        <f t="shared" si="2"/>
        <v>0.618618618618618</v>
      </c>
      <c r="H71" s="24">
        <f t="shared" si="3"/>
        <v>32.99299299299296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x14ac:dyDescent="0.35">
      <c r="A72" s="17">
        <v>197</v>
      </c>
      <c r="B72" s="19">
        <v>6.6000000000000003E-2</v>
      </c>
      <c r="C72" s="19">
        <v>7.0999999999999994E-2</v>
      </c>
      <c r="D72" s="19">
        <v>6.9000000000000006E-2</v>
      </c>
      <c r="E72" s="19">
        <f t="shared" si="0"/>
        <v>6.8666666666666668E-2</v>
      </c>
      <c r="F72" s="19">
        <f t="shared" si="1"/>
        <v>6.7666666666666667E-2</v>
      </c>
      <c r="G72" s="24">
        <f t="shared" si="2"/>
        <v>0.40840840840840842</v>
      </c>
      <c r="H72" s="24">
        <f t="shared" si="3"/>
        <v>21.781781781781781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35">
      <c r="A73" s="17">
        <v>198</v>
      </c>
      <c r="B73" s="19">
        <v>7.2999999999999995E-2</v>
      </c>
      <c r="C73" s="19">
        <v>7.0999999999999994E-2</v>
      </c>
      <c r="D73" s="19">
        <v>7.4999999999999997E-2</v>
      </c>
      <c r="E73" s="19">
        <f t="shared" si="0"/>
        <v>7.2999999999999995E-2</v>
      </c>
      <c r="F73" s="19">
        <f t="shared" si="1"/>
        <v>7.1999999999999995E-2</v>
      </c>
      <c r="G73" s="24">
        <f t="shared" si="2"/>
        <v>1.8018018018018535E-2</v>
      </c>
      <c r="H73" s="24">
        <f t="shared" si="3"/>
        <v>0.96096096096098871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x14ac:dyDescent="0.35">
      <c r="A74" s="17">
        <v>199</v>
      </c>
      <c r="B74" s="19">
        <v>6.6000000000000003E-2</v>
      </c>
      <c r="C74" s="19">
        <v>6.3E-2</v>
      </c>
      <c r="D74" s="19">
        <v>5.8000000000000003E-2</v>
      </c>
      <c r="E74" s="19">
        <f t="shared" si="0"/>
        <v>6.2333333333333331E-2</v>
      </c>
      <c r="F74" s="19">
        <f t="shared" si="1"/>
        <v>6.133333333333333E-2</v>
      </c>
      <c r="G74" s="24">
        <f t="shared" si="2"/>
        <v>0.97897897897897923</v>
      </c>
      <c r="H74" s="24">
        <f t="shared" si="3"/>
        <v>52.212212212212222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35">
      <c r="A75" s="17">
        <v>200</v>
      </c>
      <c r="B75" s="19">
        <v>4.9000000000000002E-2</v>
      </c>
      <c r="C75" s="19">
        <v>5.0999999999999997E-2</v>
      </c>
      <c r="D75" s="19">
        <v>4.8000000000000001E-2</v>
      </c>
      <c r="E75" s="19">
        <f t="shared" si="0"/>
        <v>4.933333333333334E-2</v>
      </c>
      <c r="F75" s="19">
        <f t="shared" si="1"/>
        <v>4.8333333333333339E-2</v>
      </c>
      <c r="G75" s="24">
        <f t="shared" si="2"/>
        <v>2.1501501501501497</v>
      </c>
      <c r="H75" s="24">
        <f t="shared" si="3"/>
        <v>114.67467467467465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x14ac:dyDescent="0.35">
      <c r="A76" s="17">
        <v>201</v>
      </c>
      <c r="B76" s="19">
        <v>6.8000000000000005E-2</v>
      </c>
      <c r="C76" s="19">
        <v>7.4999999999999997E-2</v>
      </c>
      <c r="D76" s="19">
        <v>6.2E-2</v>
      </c>
      <c r="E76" s="19">
        <f t="shared" si="0"/>
        <v>6.8333333333333343E-2</v>
      </c>
      <c r="F76" s="19">
        <f t="shared" si="1"/>
        <v>6.7333333333333342E-2</v>
      </c>
      <c r="G76" s="24">
        <f t="shared" si="2"/>
        <v>0.43843843843843766</v>
      </c>
      <c r="H76" s="24">
        <f t="shared" si="3"/>
        <v>23.38338338338334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35">
      <c r="A77" s="17">
        <v>202</v>
      </c>
      <c r="B77" s="19">
        <v>4.5999999999999999E-2</v>
      </c>
      <c r="C77" s="19">
        <v>4.5999999999999999E-2</v>
      </c>
      <c r="D77" s="19">
        <v>4.2000000000000003E-2</v>
      </c>
      <c r="E77" s="19">
        <f t="shared" si="0"/>
        <v>4.4666666666666667E-2</v>
      </c>
      <c r="F77" s="19">
        <f t="shared" si="1"/>
        <v>4.3666666666666666E-2</v>
      </c>
      <c r="G77" s="24">
        <f t="shared" si="2"/>
        <v>2.5705705705705704</v>
      </c>
      <c r="H77" s="24">
        <f t="shared" si="3"/>
        <v>137.09709709709708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x14ac:dyDescent="0.35">
      <c r="A78" s="17">
        <v>203</v>
      </c>
      <c r="B78" s="19">
        <v>4.3999999999999997E-2</v>
      </c>
      <c r="C78" s="19">
        <v>4.7E-2</v>
      </c>
      <c r="D78" s="19">
        <v>5.6000000000000001E-2</v>
      </c>
      <c r="E78" s="19">
        <f t="shared" si="0"/>
        <v>4.8999999999999995E-2</v>
      </c>
      <c r="F78" s="19">
        <f t="shared" si="1"/>
        <v>4.7999999999999994E-2</v>
      </c>
      <c r="G78" s="24">
        <f t="shared" si="2"/>
        <v>2.1801801801801806</v>
      </c>
      <c r="H78" s="24">
        <f t="shared" si="3"/>
        <v>116.27627627627631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35">
      <c r="A79" s="17">
        <v>204</v>
      </c>
      <c r="B79" s="19">
        <v>4.9000000000000002E-2</v>
      </c>
      <c r="C79" s="19">
        <v>4.5999999999999999E-2</v>
      </c>
      <c r="D79" s="19">
        <v>3.9E-2</v>
      </c>
      <c r="E79" s="19">
        <f t="shared" si="0"/>
        <v>4.4666666666666667E-2</v>
      </c>
      <c r="F79" s="19">
        <f t="shared" si="1"/>
        <v>4.3666666666666666E-2</v>
      </c>
      <c r="G79" s="24">
        <f t="shared" si="2"/>
        <v>2.5705705705705704</v>
      </c>
      <c r="H79" s="24">
        <f t="shared" si="3"/>
        <v>137.09709709709708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x14ac:dyDescent="0.35">
      <c r="A80" s="17">
        <v>205</v>
      </c>
      <c r="B80" s="19">
        <v>3.4000000000000002E-2</v>
      </c>
      <c r="C80" s="19">
        <v>3.5999999999999997E-2</v>
      </c>
      <c r="D80" s="19">
        <v>2.7E-2</v>
      </c>
      <c r="E80" s="19">
        <f t="shared" si="0"/>
        <v>3.2333333333333332E-2</v>
      </c>
      <c r="F80" s="19">
        <f t="shared" si="1"/>
        <v>3.1333333333333331E-2</v>
      </c>
      <c r="G80" s="24">
        <f t="shared" si="2"/>
        <v>3.6816816816816815</v>
      </c>
      <c r="H80" s="24">
        <f t="shared" si="3"/>
        <v>196.35635635635637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35">
      <c r="A81" s="17">
        <v>206</v>
      </c>
      <c r="B81" s="19">
        <v>3.4000000000000002E-2</v>
      </c>
      <c r="C81" s="19">
        <v>3.6999999999999998E-2</v>
      </c>
      <c r="D81" s="19">
        <v>4.4999999999999998E-2</v>
      </c>
      <c r="E81" s="19">
        <f t="shared" si="0"/>
        <v>3.8666666666666669E-2</v>
      </c>
      <c r="F81" s="19">
        <f t="shared" si="1"/>
        <v>3.7666666666666668E-2</v>
      </c>
      <c r="G81" s="24">
        <f t="shared" si="2"/>
        <v>3.1111111111111107</v>
      </c>
      <c r="H81" s="24">
        <f t="shared" si="3"/>
        <v>165.92592592592592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x14ac:dyDescent="0.35">
      <c r="A82" s="7"/>
      <c r="B82" s="93"/>
      <c r="C82" s="93"/>
      <c r="D82" s="93"/>
      <c r="E82" s="93"/>
      <c r="F82" s="93"/>
      <c r="G82" s="94"/>
      <c r="H82" s="9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35">
      <c r="A83" s="7"/>
      <c r="B83" s="93"/>
      <c r="C83" s="93"/>
      <c r="D83" s="93"/>
      <c r="E83" s="93"/>
      <c r="F83" s="93"/>
      <c r="G83" s="94"/>
      <c r="H83" s="9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x14ac:dyDescent="0.35">
      <c r="A84" s="7"/>
      <c r="B84" s="93"/>
      <c r="C84" s="93"/>
      <c r="D84" s="93"/>
      <c r="E84" s="93"/>
      <c r="F84" s="93"/>
      <c r="G84" s="94"/>
      <c r="H84" s="9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35">
      <c r="A85" s="7"/>
      <c r="B85" s="93"/>
      <c r="C85" s="93"/>
      <c r="D85" s="93"/>
      <c r="E85" s="93"/>
      <c r="F85" s="93"/>
      <c r="G85" s="94"/>
      <c r="H85" s="9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x14ac:dyDescent="0.35">
      <c r="A86" s="7"/>
      <c r="B86" s="93"/>
      <c r="C86" s="93"/>
      <c r="D86" s="93"/>
      <c r="E86" s="93"/>
      <c r="F86" s="93"/>
      <c r="G86" s="94"/>
      <c r="H86" s="9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35">
      <c r="A87" s="7"/>
      <c r="B87" s="93"/>
      <c r="C87" s="93"/>
      <c r="D87" s="93"/>
      <c r="E87" s="93"/>
      <c r="F87" s="93"/>
      <c r="G87" s="94"/>
      <c r="H87" s="9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35">
      <c r="A88" s="7"/>
      <c r="B88" s="93"/>
      <c r="C88" s="93"/>
      <c r="D88" s="93"/>
      <c r="E88" s="93"/>
      <c r="F88" s="93"/>
      <c r="G88" s="94"/>
      <c r="H88" s="9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35">
      <c r="A89" s="7"/>
      <c r="B89" s="93"/>
      <c r="C89" s="93"/>
      <c r="D89" s="93"/>
      <c r="E89" s="93"/>
      <c r="F89" s="93"/>
      <c r="G89" s="94"/>
      <c r="H89" s="9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x14ac:dyDescent="0.35">
      <c r="A90" s="7"/>
      <c r="B90" s="93"/>
      <c r="C90" s="93"/>
      <c r="D90" s="93"/>
      <c r="E90" s="93"/>
      <c r="F90" s="93"/>
      <c r="G90" s="94"/>
      <c r="H90" s="9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35">
      <c r="A91" s="7"/>
      <c r="B91" s="93"/>
      <c r="C91" s="93"/>
      <c r="D91" s="93"/>
      <c r="E91" s="93"/>
      <c r="F91" s="93"/>
      <c r="G91" s="94"/>
      <c r="H91" s="9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x14ac:dyDescent="0.35">
      <c r="A92" s="7"/>
      <c r="B92" s="93"/>
      <c r="C92" s="93"/>
      <c r="D92" s="93"/>
      <c r="E92" s="93"/>
      <c r="F92" s="93"/>
      <c r="G92" s="94"/>
      <c r="H92" s="9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x14ac:dyDescent="0.35">
      <c r="A93" s="7"/>
      <c r="B93" s="93"/>
      <c r="C93" s="93"/>
      <c r="D93" s="93"/>
      <c r="E93" s="93"/>
      <c r="F93" s="93"/>
      <c r="G93" s="94"/>
      <c r="H93" s="9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x14ac:dyDescent="0.35">
      <c r="A94" s="7"/>
      <c r="B94" s="93"/>
      <c r="C94" s="93"/>
      <c r="D94" s="93"/>
      <c r="E94" s="93"/>
      <c r="F94" s="93"/>
      <c r="G94" s="94"/>
      <c r="H94" s="9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35">
      <c r="A95" s="7"/>
      <c r="B95" s="93"/>
      <c r="C95" s="93"/>
      <c r="D95" s="93"/>
      <c r="E95" s="93"/>
      <c r="F95" s="93"/>
      <c r="G95" s="94"/>
      <c r="H95" s="9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x14ac:dyDescent="0.35">
      <c r="A96" s="7"/>
      <c r="B96" s="93"/>
      <c r="C96" s="93"/>
      <c r="D96" s="93"/>
      <c r="E96" s="93"/>
      <c r="F96" s="93"/>
      <c r="G96" s="94"/>
      <c r="H96" s="9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x14ac:dyDescent="0.35">
      <c r="A97" s="7"/>
      <c r="B97" s="93"/>
      <c r="C97" s="93"/>
      <c r="D97" s="93"/>
      <c r="E97" s="93"/>
      <c r="F97" s="93"/>
      <c r="G97" s="94"/>
      <c r="H97" s="9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x14ac:dyDescent="0.35">
      <c r="A98" s="7"/>
      <c r="B98" s="93"/>
      <c r="C98" s="93"/>
      <c r="D98" s="93"/>
      <c r="E98" s="93"/>
      <c r="F98" s="93"/>
      <c r="G98" s="94"/>
      <c r="H98" s="9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35">
      <c r="A99" s="7"/>
      <c r="B99" s="93"/>
      <c r="C99" s="93"/>
      <c r="D99" s="93"/>
      <c r="E99" s="93"/>
      <c r="F99" s="93"/>
      <c r="G99" s="94"/>
      <c r="H99" s="9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x14ac:dyDescent="0.35">
      <c r="A100" s="7"/>
      <c r="B100" s="93"/>
      <c r="C100" s="93"/>
      <c r="D100" s="93"/>
      <c r="E100" s="93"/>
      <c r="F100" s="93"/>
      <c r="G100" s="94"/>
      <c r="H100" s="9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35">
      <c r="A101" s="7"/>
      <c r="B101" s="93"/>
      <c r="C101" s="93"/>
      <c r="D101" s="93"/>
      <c r="E101" s="93"/>
      <c r="F101" s="93"/>
      <c r="G101" s="94"/>
      <c r="H101" s="9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x14ac:dyDescent="0.35">
      <c r="A102" s="7"/>
      <c r="B102" s="93"/>
      <c r="C102" s="93"/>
      <c r="D102" s="93"/>
      <c r="E102" s="93"/>
      <c r="F102" s="93"/>
      <c r="G102" s="94"/>
      <c r="H102" s="9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x14ac:dyDescent="0.35">
      <c r="A103" s="7"/>
      <c r="B103" s="93"/>
      <c r="C103" s="93"/>
      <c r="D103" s="93"/>
      <c r="E103" s="93"/>
      <c r="F103" s="93"/>
      <c r="G103" s="94"/>
      <c r="H103" s="9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x14ac:dyDescent="0.35">
      <c r="A104" s="7"/>
      <c r="B104" s="93"/>
      <c r="C104" s="93"/>
      <c r="D104" s="93"/>
      <c r="E104" s="93"/>
      <c r="F104" s="93"/>
      <c r="G104" s="94"/>
      <c r="H104" s="9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x14ac:dyDescent="0.35">
      <c r="A105" s="7"/>
      <c r="B105" s="93"/>
      <c r="C105" s="93"/>
      <c r="D105" s="93"/>
      <c r="E105" s="93"/>
      <c r="F105" s="93"/>
      <c r="G105" s="94"/>
      <c r="H105" s="9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x14ac:dyDescent="0.35">
      <c r="A106" s="7"/>
      <c r="B106" s="93"/>
      <c r="C106" s="93"/>
      <c r="D106" s="93"/>
      <c r="E106" s="93"/>
      <c r="F106" s="93"/>
      <c r="G106" s="94"/>
      <c r="H106" s="9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x14ac:dyDescent="0.35">
      <c r="A107" s="7"/>
      <c r="B107" s="93"/>
      <c r="C107" s="93"/>
      <c r="D107" s="93"/>
      <c r="E107" s="93"/>
      <c r="F107" s="93"/>
      <c r="G107" s="94"/>
      <c r="H107" s="9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x14ac:dyDescent="0.35">
      <c r="A108" s="7"/>
      <c r="B108" s="93"/>
      <c r="C108" s="93"/>
      <c r="D108" s="93"/>
      <c r="E108" s="93"/>
      <c r="F108" s="93"/>
      <c r="G108" s="94"/>
      <c r="H108" s="9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x14ac:dyDescent="0.35">
      <c r="A109" s="7"/>
      <c r="B109" s="93"/>
      <c r="C109" s="93"/>
      <c r="D109" s="93"/>
      <c r="E109" s="93"/>
      <c r="F109" s="93"/>
      <c r="G109" s="94"/>
      <c r="H109" s="9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x14ac:dyDescent="0.35">
      <c r="A110" s="7"/>
      <c r="B110" s="93"/>
      <c r="C110" s="93"/>
      <c r="D110" s="93"/>
      <c r="E110" s="93"/>
      <c r="F110" s="93"/>
      <c r="G110" s="94"/>
      <c r="H110" s="9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x14ac:dyDescent="0.35">
      <c r="A111" s="7"/>
      <c r="B111" s="93"/>
      <c r="C111" s="93"/>
      <c r="D111" s="93"/>
      <c r="E111" s="93"/>
      <c r="F111" s="93"/>
      <c r="G111" s="94"/>
      <c r="H111" s="9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x14ac:dyDescent="0.35">
      <c r="A112" s="7"/>
      <c r="B112" s="93"/>
      <c r="C112" s="93"/>
      <c r="D112" s="93"/>
      <c r="E112" s="93"/>
      <c r="F112" s="93"/>
      <c r="G112" s="94"/>
      <c r="H112" s="9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x14ac:dyDescent="0.35">
      <c r="A113" s="7"/>
      <c r="B113" s="93"/>
      <c r="C113" s="93"/>
      <c r="D113" s="93"/>
      <c r="E113" s="93"/>
      <c r="F113" s="93"/>
      <c r="G113" s="94"/>
      <c r="H113" s="9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x14ac:dyDescent="0.35">
      <c r="A114" s="7"/>
      <c r="B114" s="93"/>
      <c r="C114" s="93"/>
      <c r="D114" s="93"/>
      <c r="E114" s="93"/>
      <c r="F114" s="93"/>
      <c r="G114" s="94"/>
      <c r="H114" s="9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x14ac:dyDescent="0.35">
      <c r="A115" s="7"/>
      <c r="B115" s="93"/>
      <c r="C115" s="93"/>
      <c r="D115" s="93"/>
      <c r="E115" s="93"/>
      <c r="F115" s="93"/>
      <c r="G115" s="94"/>
      <c r="H115" s="9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x14ac:dyDescent="0.35">
      <c r="A116" s="7"/>
      <c r="B116" s="93"/>
      <c r="C116" s="93"/>
      <c r="D116" s="93"/>
      <c r="E116" s="93"/>
      <c r="F116" s="93"/>
      <c r="G116" s="94"/>
      <c r="H116" s="9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x14ac:dyDescent="0.35">
      <c r="A117" s="7"/>
      <c r="B117" s="93"/>
      <c r="C117" s="93"/>
      <c r="D117" s="93"/>
      <c r="E117" s="93"/>
      <c r="F117" s="93"/>
      <c r="G117" s="94"/>
      <c r="H117" s="9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x14ac:dyDescent="0.35">
      <c r="A118" s="7"/>
      <c r="B118" s="93"/>
      <c r="C118" s="93"/>
      <c r="D118" s="93"/>
      <c r="E118" s="93"/>
      <c r="F118" s="93"/>
      <c r="G118" s="94"/>
      <c r="H118" s="9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x14ac:dyDescent="0.35">
      <c r="A119" s="7"/>
      <c r="B119" s="93"/>
      <c r="C119" s="93"/>
      <c r="D119" s="93"/>
      <c r="E119" s="93"/>
      <c r="F119" s="93"/>
      <c r="G119" s="94"/>
      <c r="H119" s="9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x14ac:dyDescent="0.35">
      <c r="A120" s="7"/>
      <c r="B120" s="93"/>
      <c r="C120" s="93"/>
      <c r="D120" s="93"/>
      <c r="E120" s="93"/>
      <c r="F120" s="93"/>
      <c r="G120" s="94"/>
      <c r="H120" s="9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x14ac:dyDescent="0.35">
      <c r="A121" s="7"/>
      <c r="B121" s="93"/>
      <c r="C121" s="93"/>
      <c r="D121" s="93"/>
      <c r="E121" s="93"/>
      <c r="F121" s="93"/>
      <c r="G121" s="94"/>
      <c r="H121" s="9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x14ac:dyDescent="0.35">
      <c r="A122" s="7"/>
      <c r="B122" s="93"/>
      <c r="C122" s="93"/>
      <c r="D122" s="93"/>
      <c r="E122" s="93"/>
      <c r="F122" s="93"/>
      <c r="G122" s="94"/>
      <c r="H122" s="94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x14ac:dyDescent="0.35">
      <c r="A123" s="7"/>
      <c r="B123" s="93"/>
      <c r="C123" s="93"/>
      <c r="D123" s="93"/>
      <c r="E123" s="93"/>
      <c r="F123" s="93"/>
      <c r="G123" s="94"/>
      <c r="H123" s="9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x14ac:dyDescent="0.35">
      <c r="A124" s="7"/>
      <c r="B124" s="93"/>
      <c r="C124" s="93"/>
      <c r="D124" s="93"/>
      <c r="E124" s="93"/>
      <c r="F124" s="93"/>
      <c r="G124" s="94"/>
      <c r="H124" s="9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x14ac:dyDescent="0.35">
      <c r="A125" s="7"/>
      <c r="B125" s="93"/>
      <c r="C125" s="93"/>
      <c r="D125" s="93"/>
      <c r="E125" s="93"/>
      <c r="F125" s="93"/>
      <c r="G125" s="94"/>
      <c r="H125" s="9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x14ac:dyDescent="0.35">
      <c r="A126" s="7"/>
      <c r="B126" s="93"/>
      <c r="C126" s="93"/>
      <c r="D126" s="93"/>
      <c r="E126" s="93"/>
      <c r="F126" s="93"/>
      <c r="G126" s="94"/>
      <c r="H126" s="9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x14ac:dyDescent="0.35">
      <c r="A127" s="7"/>
      <c r="B127" s="93"/>
      <c r="C127" s="93"/>
      <c r="D127" s="93"/>
      <c r="E127" s="93"/>
      <c r="F127" s="93"/>
      <c r="G127" s="94"/>
      <c r="H127" s="94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x14ac:dyDescent="0.35">
      <c r="A128" s="7"/>
      <c r="B128" s="93"/>
      <c r="C128" s="93"/>
      <c r="D128" s="93"/>
      <c r="E128" s="93"/>
      <c r="F128" s="93"/>
      <c r="G128" s="94"/>
      <c r="H128" s="94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x14ac:dyDescent="0.35">
      <c r="A129" s="7"/>
      <c r="B129" s="93"/>
      <c r="C129" s="93"/>
      <c r="D129" s="93"/>
      <c r="E129" s="93"/>
      <c r="F129" s="93"/>
      <c r="G129" s="94"/>
      <c r="H129" s="9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x14ac:dyDescent="0.35">
      <c r="A130" s="7"/>
      <c r="B130" s="93"/>
      <c r="C130" s="93"/>
      <c r="D130" s="93"/>
      <c r="E130" s="93"/>
      <c r="F130" s="93"/>
      <c r="G130" s="94"/>
      <c r="H130" s="94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x14ac:dyDescent="0.35">
      <c r="A131" s="7"/>
      <c r="B131" s="93"/>
      <c r="C131" s="93"/>
      <c r="D131" s="93"/>
      <c r="E131" s="93"/>
      <c r="F131" s="93"/>
      <c r="G131" s="94"/>
      <c r="H131" s="94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x14ac:dyDescent="0.35">
      <c r="A132" s="7"/>
      <c r="B132" s="93"/>
      <c r="C132" s="93"/>
      <c r="D132" s="93"/>
      <c r="E132" s="93"/>
      <c r="F132" s="93"/>
      <c r="G132" s="94"/>
      <c r="H132" s="9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x14ac:dyDescent="0.35">
      <c r="A133" s="7"/>
      <c r="B133" s="93"/>
      <c r="C133" s="93"/>
      <c r="D133" s="93"/>
      <c r="E133" s="93"/>
      <c r="F133" s="93"/>
      <c r="G133" s="94"/>
      <c r="H133" s="94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x14ac:dyDescent="0.35">
      <c r="A134" s="7"/>
      <c r="B134" s="93"/>
      <c r="C134" s="93"/>
      <c r="D134" s="93"/>
      <c r="E134" s="93"/>
      <c r="F134" s="93"/>
      <c r="G134" s="94"/>
      <c r="H134" s="94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x14ac:dyDescent="0.35">
      <c r="A135" s="7"/>
      <c r="B135" s="93"/>
      <c r="C135" s="93"/>
      <c r="D135" s="93"/>
      <c r="E135" s="93"/>
      <c r="F135" s="93"/>
      <c r="G135" s="94"/>
      <c r="H135" s="94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x14ac:dyDescent="0.35">
      <c r="A136" s="7"/>
      <c r="B136" s="93"/>
      <c r="C136" s="93"/>
      <c r="D136" s="93"/>
      <c r="E136" s="93"/>
      <c r="F136" s="93"/>
      <c r="G136" s="94"/>
      <c r="H136" s="94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x14ac:dyDescent="0.35">
      <c r="A137" s="7"/>
      <c r="B137" s="93"/>
      <c r="C137" s="93"/>
      <c r="D137" s="93"/>
      <c r="E137" s="93"/>
      <c r="F137" s="93"/>
      <c r="G137" s="94"/>
      <c r="H137" s="94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x14ac:dyDescent="0.35">
      <c r="A138" s="7"/>
      <c r="B138" s="93"/>
      <c r="C138" s="93"/>
      <c r="D138" s="93"/>
      <c r="E138" s="93"/>
      <c r="F138" s="93"/>
      <c r="G138" s="94"/>
      <c r="H138" s="94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x14ac:dyDescent="0.35">
      <c r="A139" s="7"/>
      <c r="B139" s="93"/>
      <c r="C139" s="93"/>
      <c r="D139" s="93"/>
      <c r="E139" s="93"/>
      <c r="F139" s="93"/>
      <c r="G139" s="94"/>
      <c r="H139" s="94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x14ac:dyDescent="0.35">
      <c r="A140" s="7"/>
      <c r="B140" s="93"/>
      <c r="C140" s="93"/>
      <c r="D140" s="93"/>
      <c r="E140" s="93"/>
      <c r="F140" s="93"/>
      <c r="G140" s="94"/>
      <c r="H140" s="94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x14ac:dyDescent="0.35">
      <c r="A141" s="7"/>
      <c r="B141" s="93"/>
      <c r="C141" s="93"/>
      <c r="D141" s="93"/>
      <c r="E141" s="93"/>
      <c r="F141" s="93"/>
      <c r="G141" s="94"/>
      <c r="H141" s="94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x14ac:dyDescent="0.35">
      <c r="A142" s="7"/>
      <c r="B142" s="93"/>
      <c r="C142" s="93"/>
      <c r="D142" s="93"/>
      <c r="E142" s="93"/>
      <c r="F142" s="93"/>
      <c r="G142" s="94"/>
      <c r="H142" s="94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x14ac:dyDescent="0.35">
      <c r="A143" s="7"/>
      <c r="B143" s="93"/>
      <c r="C143" s="93"/>
      <c r="D143" s="93"/>
      <c r="E143" s="93"/>
      <c r="F143" s="93"/>
      <c r="G143" s="94"/>
      <c r="H143" s="94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x14ac:dyDescent="0.35">
      <c r="A144" s="7"/>
      <c r="B144" s="93"/>
      <c r="C144" s="93"/>
      <c r="D144" s="93"/>
      <c r="E144" s="93"/>
      <c r="F144" s="93"/>
      <c r="G144" s="94"/>
      <c r="H144" s="94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x14ac:dyDescent="0.35">
      <c r="A145" s="7"/>
      <c r="B145" s="93"/>
      <c r="C145" s="93"/>
      <c r="D145" s="93"/>
      <c r="E145" s="93"/>
      <c r="F145" s="93"/>
      <c r="G145" s="94"/>
      <c r="H145" s="94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x14ac:dyDescent="0.35">
      <c r="A146" s="7"/>
      <c r="B146" s="93"/>
      <c r="C146" s="93"/>
      <c r="D146" s="93"/>
      <c r="E146" s="93"/>
      <c r="F146" s="93"/>
      <c r="G146" s="94"/>
      <c r="H146" s="94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x14ac:dyDescent="0.35">
      <c r="A147" s="7"/>
      <c r="B147" s="93"/>
      <c r="C147" s="93"/>
      <c r="D147" s="93"/>
      <c r="E147" s="93"/>
      <c r="F147" s="93"/>
      <c r="G147" s="94"/>
      <c r="H147" s="9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x14ac:dyDescent="0.35">
      <c r="A148" s="7"/>
      <c r="B148" s="93"/>
      <c r="C148" s="93"/>
      <c r="D148" s="93"/>
      <c r="E148" s="93"/>
      <c r="F148" s="93"/>
      <c r="G148" s="94"/>
      <c r="H148" s="94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x14ac:dyDescent="0.35">
      <c r="A149" s="7"/>
      <c r="B149" s="93"/>
      <c r="C149" s="93"/>
      <c r="D149" s="93"/>
      <c r="E149" s="93"/>
      <c r="F149" s="93"/>
      <c r="G149" s="94"/>
      <c r="H149" s="94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x14ac:dyDescent="0.35">
      <c r="A150" s="7"/>
      <c r="B150" s="93"/>
      <c r="C150" s="93"/>
      <c r="D150" s="93"/>
      <c r="E150" s="93"/>
      <c r="F150" s="93"/>
      <c r="G150" s="94"/>
      <c r="H150" s="94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x14ac:dyDescent="0.35">
      <c r="A151" s="7"/>
      <c r="B151" s="93"/>
      <c r="C151" s="93"/>
      <c r="D151" s="93"/>
      <c r="E151" s="93"/>
      <c r="F151" s="93"/>
      <c r="G151" s="94"/>
      <c r="H151" s="94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x14ac:dyDescent="0.35">
      <c r="A152" s="7"/>
      <c r="B152" s="93"/>
      <c r="C152" s="93"/>
      <c r="D152" s="93"/>
      <c r="E152" s="93"/>
      <c r="F152" s="93"/>
      <c r="G152" s="94"/>
      <c r="H152" s="94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x14ac:dyDescent="0.35">
      <c r="A153" s="7"/>
      <c r="B153" s="93"/>
      <c r="C153" s="93"/>
      <c r="D153" s="93"/>
      <c r="E153" s="93"/>
      <c r="F153" s="93"/>
      <c r="G153" s="94"/>
      <c r="H153" s="94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x14ac:dyDescent="0.35">
      <c r="A154" s="7"/>
      <c r="B154" s="93"/>
      <c r="C154" s="93"/>
      <c r="D154" s="93"/>
      <c r="E154" s="93"/>
      <c r="F154" s="93"/>
      <c r="G154" s="94"/>
      <c r="H154" s="94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x14ac:dyDescent="0.35">
      <c r="A155" s="7"/>
      <c r="B155" s="93"/>
      <c r="C155" s="93"/>
      <c r="D155" s="93"/>
      <c r="E155" s="93"/>
      <c r="F155" s="93"/>
      <c r="G155" s="94"/>
      <c r="H155" s="94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x14ac:dyDescent="0.35">
      <c r="A156" s="7"/>
      <c r="B156" s="93"/>
      <c r="C156" s="93"/>
      <c r="D156" s="93"/>
      <c r="E156" s="93"/>
      <c r="F156" s="93"/>
      <c r="G156" s="94"/>
      <c r="H156" s="94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x14ac:dyDescent="0.35">
      <c r="A157" s="7"/>
      <c r="B157" s="93"/>
      <c r="C157" s="93"/>
      <c r="D157" s="93"/>
      <c r="E157" s="93"/>
      <c r="F157" s="93"/>
      <c r="G157" s="94"/>
      <c r="H157" s="94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x14ac:dyDescent="0.35">
      <c r="A158" s="7"/>
      <c r="B158" s="93"/>
      <c r="C158" s="93"/>
      <c r="D158" s="93"/>
      <c r="E158" s="93"/>
      <c r="F158" s="93"/>
      <c r="G158" s="94"/>
      <c r="H158" s="94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x14ac:dyDescent="0.35">
      <c r="A159" s="7"/>
      <c r="B159" s="93"/>
      <c r="C159" s="93"/>
      <c r="D159" s="93"/>
      <c r="E159" s="93"/>
      <c r="F159" s="93"/>
      <c r="G159" s="94"/>
      <c r="H159" s="94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x14ac:dyDescent="0.35">
      <c r="A160" s="7"/>
      <c r="B160" s="93"/>
      <c r="C160" s="93"/>
      <c r="D160" s="93"/>
      <c r="E160" s="93"/>
      <c r="F160" s="93"/>
      <c r="G160" s="94"/>
      <c r="H160" s="94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x14ac:dyDescent="0.35">
      <c r="A161" s="7"/>
      <c r="B161" s="93"/>
      <c r="C161" s="93"/>
      <c r="D161" s="93"/>
      <c r="E161" s="93"/>
      <c r="F161" s="93"/>
      <c r="G161" s="94"/>
      <c r="H161" s="94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x14ac:dyDescent="0.35">
      <c r="A162" s="7"/>
      <c r="B162" s="93"/>
      <c r="C162" s="93"/>
      <c r="D162" s="93"/>
      <c r="E162" s="93"/>
      <c r="F162" s="93"/>
      <c r="G162" s="94"/>
      <c r="H162" s="94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x14ac:dyDescent="0.35">
      <c r="A163" s="7"/>
      <c r="B163" s="93"/>
      <c r="C163" s="93"/>
      <c r="D163" s="93"/>
      <c r="E163" s="93"/>
      <c r="F163" s="93"/>
      <c r="G163" s="94"/>
      <c r="H163" s="94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x14ac:dyDescent="0.35">
      <c r="A164" s="7"/>
      <c r="B164" s="93"/>
      <c r="C164" s="93"/>
      <c r="D164" s="93"/>
      <c r="E164" s="93"/>
      <c r="F164" s="93"/>
      <c r="G164" s="94"/>
      <c r="H164" s="94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x14ac:dyDescent="0.35">
      <c r="A165" s="7"/>
      <c r="B165" s="93"/>
      <c r="C165" s="93"/>
      <c r="D165" s="93"/>
      <c r="E165" s="93"/>
      <c r="F165" s="93"/>
      <c r="G165" s="94"/>
      <c r="H165" s="9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x14ac:dyDescent="0.35">
      <c r="A166" s="7"/>
      <c r="B166" s="93"/>
      <c r="C166" s="93"/>
      <c r="D166" s="93"/>
      <c r="E166" s="93"/>
      <c r="F166" s="93"/>
      <c r="G166" s="94"/>
      <c r="H166" s="94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x14ac:dyDescent="0.35">
      <c r="A167" s="7"/>
      <c r="B167" s="93"/>
      <c r="C167" s="93"/>
      <c r="D167" s="93"/>
      <c r="E167" s="93"/>
      <c r="F167" s="93"/>
      <c r="G167" s="94"/>
      <c r="H167" s="94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x14ac:dyDescent="0.35">
      <c r="A168" s="7"/>
      <c r="B168" s="93"/>
      <c r="C168" s="93"/>
      <c r="D168" s="93"/>
      <c r="E168" s="93"/>
      <c r="F168" s="93"/>
      <c r="G168" s="94"/>
      <c r="H168" s="94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x14ac:dyDescent="0.35">
      <c r="A169" s="7"/>
      <c r="B169" s="93"/>
      <c r="C169" s="93"/>
      <c r="D169" s="93"/>
      <c r="E169" s="93"/>
      <c r="F169" s="93"/>
      <c r="G169" s="94"/>
      <c r="H169" s="94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x14ac:dyDescent="0.35">
      <c r="A170" s="7"/>
      <c r="B170" s="93"/>
      <c r="C170" s="93"/>
      <c r="D170" s="93"/>
      <c r="E170" s="93"/>
      <c r="F170" s="93"/>
      <c r="G170" s="94"/>
      <c r="H170" s="94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x14ac:dyDescent="0.35">
      <c r="A171" s="7"/>
      <c r="B171" s="93"/>
      <c r="C171" s="93"/>
      <c r="D171" s="93"/>
      <c r="E171" s="93"/>
      <c r="F171" s="93"/>
      <c r="G171" s="94"/>
      <c r="H171" s="94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x14ac:dyDescent="0.35">
      <c r="A172" s="7"/>
      <c r="B172" s="93"/>
      <c r="C172" s="93"/>
      <c r="D172" s="93"/>
      <c r="E172" s="93"/>
      <c r="F172" s="93"/>
      <c r="G172" s="94"/>
      <c r="H172" s="94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x14ac:dyDescent="0.35">
      <c r="A173" s="7"/>
      <c r="B173" s="93"/>
      <c r="C173" s="93"/>
      <c r="D173" s="93"/>
      <c r="E173" s="93"/>
      <c r="F173" s="93"/>
      <c r="G173" s="94"/>
      <c r="H173" s="94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x14ac:dyDescent="0.35">
      <c r="A174" s="7"/>
      <c r="B174" s="93"/>
      <c r="C174" s="93"/>
      <c r="D174" s="93"/>
      <c r="E174" s="93"/>
      <c r="F174" s="93"/>
      <c r="G174" s="94"/>
      <c r="H174" s="94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x14ac:dyDescent="0.35">
      <c r="A175" s="7"/>
      <c r="B175" s="93"/>
      <c r="C175" s="93"/>
      <c r="D175" s="93"/>
      <c r="E175" s="93"/>
      <c r="F175" s="93"/>
      <c r="G175" s="94"/>
      <c r="H175" s="94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x14ac:dyDescent="0.35">
      <c r="A176" s="7"/>
      <c r="B176" s="93"/>
      <c r="C176" s="93"/>
      <c r="D176" s="93"/>
      <c r="E176" s="93"/>
      <c r="F176" s="93"/>
      <c r="G176" s="94"/>
      <c r="H176" s="9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x14ac:dyDescent="0.35">
      <c r="A177" s="7"/>
      <c r="B177" s="93"/>
      <c r="C177" s="93"/>
      <c r="D177" s="93"/>
      <c r="E177" s="93"/>
      <c r="F177" s="93"/>
      <c r="G177" s="94"/>
      <c r="H177" s="94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x14ac:dyDescent="0.35">
      <c r="A178" s="7"/>
      <c r="B178" s="93"/>
      <c r="C178" s="93"/>
      <c r="D178" s="93"/>
      <c r="E178" s="93"/>
      <c r="F178" s="93"/>
      <c r="G178" s="94"/>
      <c r="H178" s="94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x14ac:dyDescent="0.35">
      <c r="A179" s="7"/>
      <c r="B179" s="93"/>
      <c r="C179" s="93"/>
      <c r="D179" s="93"/>
      <c r="E179" s="93"/>
      <c r="F179" s="93"/>
      <c r="G179" s="94"/>
      <c r="H179" s="9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x14ac:dyDescent="0.35">
      <c r="A180" s="7"/>
      <c r="B180" s="93"/>
      <c r="C180" s="93"/>
      <c r="D180" s="93"/>
      <c r="E180" s="93"/>
      <c r="F180" s="93"/>
      <c r="G180" s="94"/>
      <c r="H180" s="94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x14ac:dyDescent="0.35">
      <c r="A181" s="7"/>
      <c r="B181" s="93"/>
      <c r="C181" s="93"/>
      <c r="D181" s="93"/>
      <c r="E181" s="93"/>
      <c r="F181" s="93"/>
      <c r="G181" s="94"/>
      <c r="H181" s="94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x14ac:dyDescent="0.35">
      <c r="A182" s="7"/>
      <c r="B182" s="93"/>
      <c r="C182" s="93"/>
      <c r="D182" s="93"/>
      <c r="E182" s="93"/>
      <c r="F182" s="93"/>
      <c r="G182" s="94"/>
      <c r="H182" s="94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x14ac:dyDescent="0.35">
      <c r="A183" s="7"/>
      <c r="B183" s="93"/>
      <c r="C183" s="93"/>
      <c r="D183" s="93"/>
      <c r="E183" s="93"/>
      <c r="F183" s="93"/>
      <c r="G183" s="94"/>
      <c r="H183" s="94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x14ac:dyDescent="0.35">
      <c r="A184" s="7"/>
      <c r="B184" s="93"/>
      <c r="C184" s="93"/>
      <c r="D184" s="93"/>
      <c r="E184" s="93"/>
      <c r="F184" s="93"/>
      <c r="G184" s="94"/>
      <c r="H184" s="94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x14ac:dyDescent="0.35">
      <c r="A185" s="7"/>
      <c r="B185" s="93"/>
      <c r="C185" s="93"/>
      <c r="D185" s="93"/>
      <c r="E185" s="93"/>
      <c r="F185" s="93"/>
      <c r="G185" s="94"/>
      <c r="H185" s="9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x14ac:dyDescent="0.35">
      <c r="A186" s="7"/>
      <c r="B186" s="93"/>
      <c r="C186" s="93"/>
      <c r="D186" s="93"/>
      <c r="E186" s="93"/>
      <c r="F186" s="93"/>
      <c r="G186" s="94"/>
      <c r="H186" s="94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x14ac:dyDescent="0.35">
      <c r="A187" s="7"/>
      <c r="B187" s="93"/>
      <c r="C187" s="93"/>
      <c r="D187" s="93"/>
      <c r="E187" s="93"/>
      <c r="F187" s="93"/>
      <c r="G187" s="94"/>
      <c r="H187" s="94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x14ac:dyDescent="0.35">
      <c r="A188" s="7"/>
      <c r="B188" s="93"/>
      <c r="C188" s="93"/>
      <c r="D188" s="93"/>
      <c r="E188" s="93"/>
      <c r="F188" s="93"/>
      <c r="G188" s="94"/>
      <c r="H188" s="94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x14ac:dyDescent="0.35">
      <c r="A189" s="7"/>
      <c r="B189" s="93"/>
      <c r="C189" s="93"/>
      <c r="D189" s="93"/>
      <c r="E189" s="93"/>
      <c r="F189" s="93"/>
      <c r="G189" s="94"/>
      <c r="H189" s="94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x14ac:dyDescent="0.35">
      <c r="A190" s="7"/>
      <c r="B190" s="93"/>
      <c r="C190" s="93"/>
      <c r="D190" s="93"/>
      <c r="E190" s="93"/>
      <c r="F190" s="93"/>
      <c r="G190" s="94"/>
      <c r="H190" s="94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x14ac:dyDescent="0.35">
      <c r="A191" s="7"/>
      <c r="B191" s="93"/>
      <c r="C191" s="93"/>
      <c r="D191" s="93"/>
      <c r="E191" s="93"/>
      <c r="F191" s="93"/>
      <c r="G191" s="94"/>
      <c r="H191" s="94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x14ac:dyDescent="0.35">
      <c r="A192" s="7"/>
      <c r="B192" s="93"/>
      <c r="C192" s="93"/>
      <c r="D192" s="93"/>
      <c r="E192" s="93"/>
      <c r="F192" s="93"/>
      <c r="G192" s="94"/>
      <c r="H192" s="9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x14ac:dyDescent="0.35">
      <c r="A193" s="7"/>
      <c r="B193" s="93"/>
      <c r="C193" s="93"/>
      <c r="D193" s="93"/>
      <c r="E193" s="93"/>
      <c r="F193" s="93"/>
      <c r="G193" s="94"/>
      <c r="H193" s="94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x14ac:dyDescent="0.35">
      <c r="A194" s="7"/>
      <c r="B194" s="93"/>
      <c r="C194" s="93"/>
      <c r="D194" s="93"/>
      <c r="E194" s="93"/>
      <c r="F194" s="93"/>
      <c r="G194" s="94"/>
      <c r="H194" s="94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x14ac:dyDescent="0.35">
      <c r="A195" s="7"/>
      <c r="B195" s="93"/>
      <c r="C195" s="93"/>
      <c r="D195" s="93"/>
      <c r="E195" s="93"/>
      <c r="F195" s="93"/>
      <c r="G195" s="94"/>
      <c r="H195" s="94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x14ac:dyDescent="0.35">
      <c r="A196" s="7"/>
      <c r="B196" s="93"/>
      <c r="C196" s="93"/>
      <c r="D196" s="93"/>
      <c r="E196" s="93"/>
      <c r="F196" s="93"/>
      <c r="G196" s="94"/>
      <c r="H196" s="94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x14ac:dyDescent="0.35">
      <c r="A197" s="7"/>
      <c r="B197" s="93"/>
      <c r="C197" s="93"/>
      <c r="D197" s="93"/>
      <c r="E197" s="93"/>
      <c r="F197" s="93"/>
      <c r="G197" s="94"/>
      <c r="H197" s="94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x14ac:dyDescent="0.35">
      <c r="A198" s="7"/>
      <c r="B198" s="93"/>
      <c r="C198" s="93"/>
      <c r="D198" s="93"/>
      <c r="E198" s="93"/>
      <c r="F198" s="93"/>
      <c r="G198" s="94"/>
      <c r="H198" s="94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x14ac:dyDescent="0.35">
      <c r="A199" s="7"/>
      <c r="B199" s="93"/>
      <c r="C199" s="93"/>
      <c r="D199" s="93"/>
      <c r="E199" s="93"/>
      <c r="F199" s="93"/>
      <c r="G199" s="94"/>
      <c r="H199" s="94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x14ac:dyDescent="0.35">
      <c r="A200" s="7"/>
      <c r="B200" s="93"/>
      <c r="C200" s="93"/>
      <c r="D200" s="93"/>
      <c r="E200" s="93"/>
      <c r="F200" s="93"/>
      <c r="G200" s="94"/>
      <c r="H200" s="94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x14ac:dyDescent="0.35">
      <c r="A201" s="7"/>
      <c r="B201" s="93"/>
      <c r="C201" s="93"/>
      <c r="D201" s="93"/>
      <c r="E201" s="93"/>
      <c r="F201" s="93"/>
      <c r="G201" s="94"/>
      <c r="H201" s="94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x14ac:dyDescent="0.35">
      <c r="A202" s="7"/>
      <c r="B202" s="93"/>
      <c r="C202" s="93"/>
      <c r="D202" s="93"/>
      <c r="E202" s="93"/>
      <c r="F202" s="93"/>
      <c r="G202" s="94"/>
      <c r="H202" s="94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x14ac:dyDescent="0.35">
      <c r="A203" s="7"/>
      <c r="B203" s="93"/>
      <c r="C203" s="93"/>
      <c r="D203" s="93"/>
      <c r="E203" s="93"/>
      <c r="F203" s="93"/>
      <c r="G203" s="94"/>
      <c r="H203" s="94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x14ac:dyDescent="0.35">
      <c r="A204" s="7"/>
      <c r="B204" s="93"/>
      <c r="C204" s="93"/>
      <c r="D204" s="93"/>
      <c r="E204" s="93"/>
      <c r="F204" s="93"/>
      <c r="G204" s="94"/>
      <c r="H204" s="9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x14ac:dyDescent="0.35">
      <c r="A205" s="7"/>
      <c r="B205" s="93"/>
      <c r="C205" s="93"/>
      <c r="D205" s="93"/>
      <c r="E205" s="93"/>
      <c r="F205" s="93"/>
      <c r="G205" s="94"/>
      <c r="H205" s="94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x14ac:dyDescent="0.35">
      <c r="A206" s="7"/>
      <c r="B206" s="93"/>
      <c r="C206" s="93"/>
      <c r="D206" s="93"/>
      <c r="E206" s="93"/>
      <c r="F206" s="93"/>
      <c r="G206" s="94"/>
      <c r="H206" s="94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x14ac:dyDescent="0.35">
      <c r="A207" s="7"/>
      <c r="B207" s="93"/>
      <c r="C207" s="93"/>
      <c r="D207" s="93"/>
      <c r="E207" s="93"/>
      <c r="F207" s="93"/>
      <c r="G207" s="94"/>
      <c r="H207" s="94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x14ac:dyDescent="0.35">
      <c r="A208" s="7"/>
      <c r="B208" s="93"/>
      <c r="C208" s="93"/>
      <c r="D208" s="93"/>
      <c r="E208" s="93"/>
      <c r="F208" s="93"/>
      <c r="G208" s="94"/>
      <c r="H208" s="94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x14ac:dyDescent="0.35">
      <c r="A209" s="7"/>
      <c r="B209" s="93"/>
      <c r="C209" s="93"/>
      <c r="D209" s="93"/>
      <c r="E209" s="93"/>
      <c r="F209" s="93"/>
      <c r="G209" s="94"/>
      <c r="H209" s="94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x14ac:dyDescent="0.35">
      <c r="A210" s="7"/>
      <c r="B210" s="93"/>
      <c r="C210" s="93"/>
      <c r="D210" s="93"/>
      <c r="E210" s="93"/>
      <c r="F210" s="93"/>
      <c r="G210" s="94"/>
      <c r="H210" s="94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x14ac:dyDescent="0.35">
      <c r="A211" s="7"/>
      <c r="B211" s="93"/>
      <c r="C211" s="93"/>
      <c r="D211" s="93"/>
      <c r="E211" s="93"/>
      <c r="F211" s="93"/>
      <c r="G211" s="94"/>
      <c r="H211" s="94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x14ac:dyDescent="0.35">
      <c r="A212" s="7"/>
      <c r="B212" s="93"/>
      <c r="C212" s="93"/>
      <c r="D212" s="93"/>
      <c r="E212" s="93"/>
      <c r="F212" s="93"/>
      <c r="G212" s="94"/>
      <c r="H212" s="94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x14ac:dyDescent="0.35">
      <c r="A213" s="7"/>
      <c r="B213" s="93"/>
      <c r="C213" s="93"/>
      <c r="D213" s="93"/>
      <c r="E213" s="93"/>
      <c r="F213" s="93"/>
      <c r="G213" s="94"/>
      <c r="H213" s="94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x14ac:dyDescent="0.35">
      <c r="A214" s="7"/>
      <c r="B214" s="93"/>
      <c r="C214" s="93"/>
      <c r="D214" s="93"/>
      <c r="E214" s="93"/>
      <c r="F214" s="93"/>
      <c r="G214" s="94"/>
      <c r="H214" s="94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x14ac:dyDescent="0.35">
      <c r="A215" s="7"/>
      <c r="B215" s="93"/>
      <c r="C215" s="93"/>
      <c r="D215" s="93"/>
      <c r="E215" s="93"/>
      <c r="F215" s="93"/>
      <c r="G215" s="94"/>
      <c r="H215" s="9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x14ac:dyDescent="0.35">
      <c r="A216" s="7"/>
      <c r="B216" s="93"/>
      <c r="C216" s="93"/>
      <c r="D216" s="93"/>
      <c r="E216" s="93"/>
      <c r="F216" s="93"/>
      <c r="G216" s="94"/>
      <c r="H216" s="94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x14ac:dyDescent="0.35">
      <c r="A217" s="7"/>
      <c r="B217" s="93"/>
      <c r="C217" s="93"/>
      <c r="D217" s="93"/>
      <c r="E217" s="93"/>
      <c r="F217" s="93"/>
      <c r="G217" s="94"/>
      <c r="H217" s="94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x14ac:dyDescent="0.35">
      <c r="A218" s="7"/>
      <c r="B218" s="93"/>
      <c r="C218" s="93"/>
      <c r="D218" s="93"/>
      <c r="E218" s="93"/>
      <c r="F218" s="93"/>
      <c r="G218" s="94"/>
      <c r="H218" s="94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x14ac:dyDescent="0.35">
      <c r="A219" s="7"/>
      <c r="B219" s="93"/>
      <c r="C219" s="93"/>
      <c r="D219" s="93"/>
      <c r="E219" s="93"/>
      <c r="F219" s="93"/>
      <c r="G219" s="94"/>
      <c r="H219" s="94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x14ac:dyDescent="0.35">
      <c r="A220" s="7"/>
      <c r="B220" s="93"/>
      <c r="C220" s="93"/>
      <c r="D220" s="93"/>
      <c r="E220" s="93"/>
      <c r="F220" s="93"/>
      <c r="G220" s="94"/>
      <c r="H220" s="94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x14ac:dyDescent="0.35">
      <c r="A221" s="7"/>
      <c r="B221" s="93"/>
      <c r="C221" s="93"/>
      <c r="D221" s="93"/>
      <c r="E221" s="93"/>
      <c r="F221" s="93"/>
      <c r="G221" s="94"/>
      <c r="H221" s="94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x14ac:dyDescent="0.35">
      <c r="A222" s="7"/>
      <c r="B222" s="93"/>
      <c r="C222" s="93"/>
      <c r="D222" s="93"/>
      <c r="E222" s="93"/>
      <c r="F222" s="93"/>
      <c r="G222" s="94"/>
      <c r="H222" s="94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x14ac:dyDescent="0.35">
      <c r="A223" s="7"/>
      <c r="B223" s="93"/>
      <c r="C223" s="93"/>
      <c r="D223" s="93"/>
      <c r="E223" s="93"/>
      <c r="F223" s="93"/>
      <c r="G223" s="94"/>
      <c r="H223" s="94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x14ac:dyDescent="0.35">
      <c r="A224" s="7"/>
      <c r="B224" s="93"/>
      <c r="C224" s="93"/>
      <c r="D224" s="93"/>
      <c r="E224" s="93"/>
      <c r="F224" s="93"/>
      <c r="G224" s="94"/>
      <c r="H224" s="9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x14ac:dyDescent="0.35">
      <c r="A225" s="7"/>
      <c r="B225" s="93"/>
      <c r="C225" s="93"/>
      <c r="D225" s="93"/>
      <c r="E225" s="93"/>
      <c r="F225" s="93"/>
      <c r="G225" s="94"/>
      <c r="H225" s="94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x14ac:dyDescent="0.35">
      <c r="A226" s="7"/>
      <c r="B226" s="93"/>
      <c r="C226" s="93"/>
      <c r="D226" s="93"/>
      <c r="E226" s="93"/>
      <c r="F226" s="93"/>
      <c r="G226" s="94"/>
      <c r="H226" s="94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x14ac:dyDescent="0.35">
      <c r="A227" s="7"/>
      <c r="B227" s="93"/>
      <c r="C227" s="93"/>
      <c r="D227" s="93"/>
      <c r="E227" s="93"/>
      <c r="F227" s="93"/>
      <c r="G227" s="94"/>
      <c r="H227" s="9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x14ac:dyDescent="0.35">
      <c r="A228" s="7"/>
      <c r="B228" s="93"/>
      <c r="C228" s="93"/>
      <c r="D228" s="93"/>
      <c r="E228" s="93"/>
      <c r="F228" s="93"/>
      <c r="G228" s="94"/>
      <c r="H228" s="94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x14ac:dyDescent="0.35">
      <c r="A229" s="7"/>
      <c r="B229" s="93"/>
      <c r="C229" s="93"/>
      <c r="D229" s="93"/>
      <c r="E229" s="93"/>
      <c r="F229" s="93"/>
      <c r="G229" s="94"/>
      <c r="H229" s="9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x14ac:dyDescent="0.35">
      <c r="A230" s="7"/>
      <c r="B230" s="93"/>
      <c r="C230" s="93"/>
      <c r="D230" s="93"/>
      <c r="E230" s="93"/>
      <c r="F230" s="93"/>
      <c r="G230" s="94"/>
      <c r="H230" s="94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x14ac:dyDescent="0.35">
      <c r="A231" s="7"/>
      <c r="B231" s="93"/>
      <c r="C231" s="93"/>
      <c r="D231" s="93"/>
      <c r="E231" s="93"/>
      <c r="F231" s="93"/>
      <c r="G231" s="94"/>
      <c r="H231" s="94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x14ac:dyDescent="0.35">
      <c r="A232" s="7"/>
      <c r="B232" s="93"/>
      <c r="C232" s="93"/>
      <c r="D232" s="93"/>
      <c r="E232" s="93"/>
      <c r="F232" s="93"/>
      <c r="G232" s="94"/>
      <c r="H232" s="9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x14ac:dyDescent="0.35">
      <c r="A233" s="7"/>
      <c r="B233" s="93"/>
      <c r="C233" s="93"/>
      <c r="D233" s="93"/>
      <c r="E233" s="93"/>
      <c r="F233" s="93"/>
      <c r="G233" s="94"/>
      <c r="H233" s="94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x14ac:dyDescent="0.35">
      <c r="A234" s="7"/>
      <c r="B234" s="93"/>
      <c r="C234" s="93"/>
      <c r="D234" s="93"/>
      <c r="E234" s="93"/>
      <c r="F234" s="93"/>
      <c r="G234" s="94"/>
      <c r="H234" s="94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x14ac:dyDescent="0.35">
      <c r="A235" s="7"/>
      <c r="B235" s="93"/>
      <c r="C235" s="93"/>
      <c r="D235" s="93"/>
      <c r="E235" s="93"/>
      <c r="F235" s="93"/>
      <c r="G235" s="94"/>
      <c r="H235" s="94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x14ac:dyDescent="0.35">
      <c r="A236" s="7"/>
      <c r="B236" s="93"/>
      <c r="C236" s="93"/>
      <c r="D236" s="93"/>
      <c r="E236" s="93"/>
      <c r="F236" s="93"/>
      <c r="G236" s="94"/>
      <c r="H236" s="94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x14ac:dyDescent="0.35">
      <c r="A237" s="7"/>
      <c r="B237" s="93"/>
      <c r="C237" s="93"/>
      <c r="D237" s="93"/>
      <c r="E237" s="93"/>
      <c r="F237" s="93"/>
      <c r="G237" s="94"/>
      <c r="H237" s="94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x14ac:dyDescent="0.35">
      <c r="A238" s="7"/>
      <c r="B238" s="93"/>
      <c r="C238" s="93"/>
      <c r="D238" s="93"/>
      <c r="E238" s="93"/>
      <c r="F238" s="93"/>
      <c r="G238" s="94"/>
      <c r="H238" s="9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x14ac:dyDescent="0.35">
      <c r="A239" s="7"/>
      <c r="B239" s="93"/>
      <c r="C239" s="93"/>
      <c r="D239" s="93"/>
      <c r="E239" s="93"/>
      <c r="F239" s="93"/>
      <c r="G239" s="94"/>
      <c r="H239" s="9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x14ac:dyDescent="0.35">
      <c r="A240" s="7"/>
      <c r="B240" s="93"/>
      <c r="C240" s="93"/>
      <c r="D240" s="93"/>
      <c r="E240" s="93"/>
      <c r="F240" s="93"/>
      <c r="G240" s="94"/>
      <c r="H240" s="9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x14ac:dyDescent="0.35">
      <c r="A241" s="7"/>
      <c r="B241" s="93"/>
      <c r="C241" s="93"/>
      <c r="D241" s="93"/>
      <c r="E241" s="93"/>
      <c r="F241" s="93"/>
      <c r="G241" s="94"/>
      <c r="H241" s="9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x14ac:dyDescent="0.35">
      <c r="A242" s="7"/>
      <c r="B242" s="93"/>
      <c r="C242" s="93"/>
      <c r="D242" s="93"/>
      <c r="E242" s="93"/>
      <c r="F242" s="93"/>
      <c r="G242" s="94"/>
      <c r="H242" s="9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x14ac:dyDescent="0.35">
      <c r="A243" s="7"/>
      <c r="B243" s="93"/>
      <c r="C243" s="93"/>
      <c r="D243" s="93"/>
      <c r="E243" s="93"/>
      <c r="F243" s="93"/>
      <c r="G243" s="94"/>
      <c r="H243" s="9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x14ac:dyDescent="0.35">
      <c r="A244" s="7"/>
      <c r="B244" s="93"/>
      <c r="C244" s="93"/>
      <c r="D244" s="93"/>
      <c r="E244" s="93"/>
      <c r="F244" s="93"/>
      <c r="G244" s="94"/>
      <c r="H244" s="9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x14ac:dyDescent="0.35">
      <c r="A245" s="7"/>
      <c r="B245" s="93"/>
      <c r="C245" s="93"/>
      <c r="D245" s="93"/>
      <c r="E245" s="93"/>
      <c r="F245" s="93"/>
      <c r="G245" s="94"/>
      <c r="H245" s="9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x14ac:dyDescent="0.35">
      <c r="A246" s="7"/>
      <c r="B246" s="93"/>
      <c r="C246" s="93"/>
      <c r="D246" s="93"/>
      <c r="E246" s="93"/>
      <c r="F246" s="93"/>
      <c r="G246" s="94"/>
      <c r="H246" s="9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x14ac:dyDescent="0.35">
      <c r="A247" s="7"/>
      <c r="B247" s="93"/>
      <c r="C247" s="93"/>
      <c r="D247" s="93"/>
      <c r="E247" s="93"/>
      <c r="F247" s="93"/>
      <c r="G247" s="94"/>
      <c r="H247" s="9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x14ac:dyDescent="0.35">
      <c r="A248" s="7"/>
      <c r="B248" s="93"/>
      <c r="C248" s="93"/>
      <c r="D248" s="93"/>
      <c r="E248" s="93"/>
      <c r="F248" s="93"/>
      <c r="G248" s="94"/>
      <c r="H248" s="9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x14ac:dyDescent="0.35">
      <c r="A249" s="7"/>
      <c r="B249" s="93"/>
      <c r="C249" s="93"/>
      <c r="D249" s="93"/>
      <c r="E249" s="93"/>
      <c r="F249" s="93"/>
      <c r="G249" s="94"/>
      <c r="H249" s="9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x14ac:dyDescent="0.35">
      <c r="A250" s="7"/>
      <c r="B250" s="93"/>
      <c r="C250" s="93"/>
      <c r="D250" s="93"/>
      <c r="E250" s="93"/>
      <c r="F250" s="93"/>
      <c r="G250" s="94"/>
      <c r="H250" s="9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x14ac:dyDescent="0.35">
      <c r="A251" s="7"/>
      <c r="B251" s="93"/>
      <c r="C251" s="93"/>
      <c r="D251" s="93"/>
      <c r="E251" s="93"/>
      <c r="F251" s="93"/>
      <c r="G251" s="94"/>
      <c r="H251" s="9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x14ac:dyDescent="0.35">
      <c r="A252" s="7"/>
      <c r="B252" s="93"/>
      <c r="C252" s="93"/>
      <c r="D252" s="93"/>
      <c r="E252" s="93"/>
      <c r="F252" s="93"/>
      <c r="G252" s="94"/>
      <c r="H252" s="9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x14ac:dyDescent="0.35">
      <c r="A253" s="7"/>
      <c r="B253" s="93"/>
      <c r="C253" s="93"/>
      <c r="D253" s="93"/>
      <c r="E253" s="93"/>
      <c r="F253" s="93"/>
      <c r="G253" s="94"/>
      <c r="H253" s="9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x14ac:dyDescent="0.35">
      <c r="A254" s="7"/>
      <c r="B254" s="93"/>
      <c r="C254" s="93"/>
      <c r="D254" s="93"/>
      <c r="E254" s="93"/>
      <c r="F254" s="93"/>
      <c r="G254" s="94"/>
      <c r="H254" s="9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x14ac:dyDescent="0.35">
      <c r="A255" s="7"/>
      <c r="B255" s="93"/>
      <c r="C255" s="93"/>
      <c r="D255" s="93"/>
      <c r="E255" s="93"/>
      <c r="F255" s="93"/>
      <c r="G255" s="94"/>
      <c r="H255" s="9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x14ac:dyDescent="0.35">
      <c r="A256" s="7"/>
      <c r="B256" s="93"/>
      <c r="C256" s="93"/>
      <c r="D256" s="93"/>
      <c r="E256" s="93"/>
      <c r="F256" s="93"/>
      <c r="G256" s="94"/>
      <c r="H256" s="9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x14ac:dyDescent="0.35">
      <c r="A257" s="7"/>
      <c r="B257" s="93"/>
      <c r="C257" s="93"/>
      <c r="D257" s="93"/>
      <c r="E257" s="93"/>
      <c r="F257" s="93"/>
      <c r="G257" s="94"/>
      <c r="H257" s="9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x14ac:dyDescent="0.35">
      <c r="A258" s="7"/>
      <c r="B258" s="93"/>
      <c r="C258" s="93"/>
      <c r="D258" s="93"/>
      <c r="E258" s="93"/>
      <c r="F258" s="93"/>
      <c r="G258" s="94"/>
      <c r="H258" s="9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x14ac:dyDescent="0.35">
      <c r="A259" s="7"/>
      <c r="B259" s="93"/>
      <c r="C259" s="93"/>
      <c r="D259" s="93"/>
      <c r="E259" s="93"/>
      <c r="F259" s="93"/>
      <c r="G259" s="94"/>
      <c r="H259" s="9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x14ac:dyDescent="0.35">
      <c r="A260" s="7"/>
      <c r="B260" s="93"/>
      <c r="C260" s="93"/>
      <c r="D260" s="93"/>
      <c r="E260" s="93"/>
      <c r="F260" s="93"/>
      <c r="G260" s="94"/>
      <c r="H260" s="9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x14ac:dyDescent="0.35">
      <c r="A261" s="7"/>
      <c r="B261" s="93"/>
      <c r="C261" s="93"/>
      <c r="D261" s="93"/>
      <c r="E261" s="93"/>
      <c r="F261" s="93"/>
      <c r="G261" s="94"/>
      <c r="H261" s="9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x14ac:dyDescent="0.35">
      <c r="A262" s="7"/>
      <c r="B262" s="93"/>
      <c r="C262" s="93"/>
      <c r="D262" s="93"/>
      <c r="E262" s="93"/>
      <c r="F262" s="93"/>
      <c r="G262" s="94"/>
      <c r="H262" s="9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x14ac:dyDescent="0.35">
      <c r="A263" s="7"/>
      <c r="B263" s="93"/>
      <c r="C263" s="93"/>
      <c r="D263" s="93"/>
      <c r="E263" s="93"/>
      <c r="F263" s="93"/>
      <c r="G263" s="94"/>
      <c r="H263" s="9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x14ac:dyDescent="0.35">
      <c r="A264" s="7"/>
      <c r="B264" s="93"/>
      <c r="C264" s="93"/>
      <c r="D264" s="93"/>
      <c r="E264" s="93"/>
      <c r="F264" s="93"/>
      <c r="G264" s="94"/>
      <c r="H264" s="9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x14ac:dyDescent="0.35">
      <c r="A265" s="7"/>
      <c r="B265" s="93"/>
      <c r="C265" s="93"/>
      <c r="D265" s="93"/>
      <c r="E265" s="93"/>
      <c r="F265" s="93"/>
      <c r="G265" s="94"/>
      <c r="H265" s="9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x14ac:dyDescent="0.35">
      <c r="A266" s="7"/>
      <c r="B266" s="93"/>
      <c r="C266" s="93"/>
      <c r="D266" s="93"/>
      <c r="E266" s="93"/>
      <c r="F266" s="93"/>
      <c r="G266" s="94"/>
      <c r="H266" s="9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x14ac:dyDescent="0.35">
      <c r="A267" s="7"/>
      <c r="B267" s="93"/>
      <c r="C267" s="93"/>
      <c r="D267" s="93"/>
      <c r="E267" s="93"/>
      <c r="F267" s="93"/>
      <c r="G267" s="94"/>
      <c r="H267" s="9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x14ac:dyDescent="0.35">
      <c r="A268" s="7"/>
      <c r="B268" s="93"/>
      <c r="C268" s="93"/>
      <c r="D268" s="93"/>
      <c r="E268" s="93"/>
      <c r="F268" s="93"/>
      <c r="G268" s="94"/>
      <c r="H268" s="9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x14ac:dyDescent="0.35">
      <c r="A269" s="7"/>
      <c r="B269" s="93"/>
      <c r="C269" s="93"/>
      <c r="D269" s="93"/>
      <c r="E269" s="93"/>
      <c r="F269" s="93"/>
      <c r="G269" s="94"/>
      <c r="H269" s="9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x14ac:dyDescent="0.35">
      <c r="A270" s="7"/>
      <c r="B270" s="93"/>
      <c r="C270" s="93"/>
      <c r="D270" s="93"/>
      <c r="E270" s="93"/>
      <c r="F270" s="93"/>
      <c r="G270" s="94"/>
      <c r="H270" s="9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x14ac:dyDescent="0.35">
      <c r="A271" s="7"/>
      <c r="B271" s="93"/>
      <c r="C271" s="93"/>
      <c r="D271" s="93"/>
      <c r="E271" s="93"/>
      <c r="F271" s="93"/>
      <c r="G271" s="94"/>
      <c r="H271" s="9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x14ac:dyDescent="0.35">
      <c r="A272" s="7"/>
      <c r="B272" s="93"/>
      <c r="C272" s="93"/>
      <c r="D272" s="93"/>
      <c r="E272" s="93"/>
      <c r="F272" s="93"/>
      <c r="G272" s="94"/>
      <c r="H272" s="9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x14ac:dyDescent="0.35">
      <c r="A273" s="7"/>
      <c r="B273" s="93"/>
      <c r="C273" s="93"/>
      <c r="D273" s="93"/>
      <c r="E273" s="93"/>
      <c r="F273" s="93"/>
      <c r="G273" s="94"/>
      <c r="H273" s="9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x14ac:dyDescent="0.35">
      <c r="A274" s="7"/>
      <c r="B274" s="93"/>
      <c r="C274" s="93"/>
      <c r="D274" s="93"/>
      <c r="E274" s="93"/>
      <c r="F274" s="93"/>
      <c r="G274" s="94"/>
      <c r="H274" s="9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x14ac:dyDescent="0.35">
      <c r="A275" s="7"/>
      <c r="B275" s="93"/>
      <c r="C275" s="93"/>
      <c r="D275" s="93"/>
      <c r="E275" s="93"/>
      <c r="F275" s="93"/>
      <c r="G275" s="94"/>
      <c r="H275" s="9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x14ac:dyDescent="0.35">
      <c r="A276" s="7"/>
      <c r="B276" s="93"/>
      <c r="C276" s="93"/>
      <c r="D276" s="93"/>
      <c r="E276" s="93"/>
      <c r="F276" s="93"/>
      <c r="G276" s="94"/>
      <c r="H276" s="9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x14ac:dyDescent="0.35">
      <c r="A277" s="7"/>
      <c r="B277" s="93"/>
      <c r="C277" s="93"/>
      <c r="D277" s="93"/>
      <c r="E277" s="93"/>
      <c r="F277" s="93"/>
      <c r="G277" s="94"/>
      <c r="H277" s="9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x14ac:dyDescent="0.35">
      <c r="A278" s="7"/>
      <c r="B278" s="93"/>
      <c r="C278" s="93"/>
      <c r="D278" s="93"/>
      <c r="E278" s="93"/>
      <c r="F278" s="93"/>
      <c r="G278" s="94"/>
      <c r="H278" s="9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x14ac:dyDescent="0.35">
      <c r="A279" s="7"/>
      <c r="B279" s="93"/>
      <c r="C279" s="93"/>
      <c r="D279" s="93"/>
      <c r="E279" s="93"/>
      <c r="F279" s="93"/>
      <c r="G279" s="94"/>
      <c r="H279" s="9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x14ac:dyDescent="0.35">
      <c r="A280" s="7"/>
      <c r="B280" s="93"/>
      <c r="C280" s="93"/>
      <c r="D280" s="93"/>
      <c r="E280" s="93"/>
      <c r="F280" s="93"/>
      <c r="G280" s="94"/>
      <c r="H280" s="9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x14ac:dyDescent="0.35">
      <c r="A281" s="7"/>
      <c r="B281" s="93"/>
      <c r="C281" s="93"/>
      <c r="D281" s="93"/>
      <c r="E281" s="93"/>
      <c r="F281" s="93"/>
      <c r="G281" s="94"/>
      <c r="H281" s="9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x14ac:dyDescent="0.35">
      <c r="A282" s="7"/>
      <c r="B282" s="93"/>
      <c r="C282" s="93"/>
      <c r="D282" s="93"/>
      <c r="E282" s="93"/>
      <c r="F282" s="93"/>
      <c r="G282" s="94"/>
      <c r="H282" s="9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x14ac:dyDescent="0.35">
      <c r="A283" s="7"/>
      <c r="B283" s="93"/>
      <c r="C283" s="93"/>
      <c r="D283" s="93"/>
      <c r="E283" s="93"/>
      <c r="F283" s="93"/>
      <c r="G283" s="94"/>
      <c r="H283" s="9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x14ac:dyDescent="0.35">
      <c r="A284" s="7"/>
      <c r="B284" s="93"/>
      <c r="C284" s="93"/>
      <c r="D284" s="93"/>
      <c r="E284" s="93"/>
      <c r="F284" s="93"/>
      <c r="G284" s="94"/>
      <c r="H284" s="9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x14ac:dyDescent="0.35">
      <c r="A285" s="7"/>
      <c r="B285" s="93"/>
      <c r="C285" s="93"/>
      <c r="D285" s="93"/>
      <c r="E285" s="93"/>
      <c r="F285" s="93"/>
      <c r="G285" s="94"/>
      <c r="H285" s="9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x14ac:dyDescent="0.35">
      <c r="A286" s="7"/>
      <c r="B286" s="93"/>
      <c r="C286" s="93"/>
      <c r="D286" s="93"/>
      <c r="E286" s="93"/>
      <c r="F286" s="93"/>
      <c r="G286" s="94"/>
      <c r="H286" s="9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x14ac:dyDescent="0.35">
      <c r="A287" s="7"/>
      <c r="B287" s="93"/>
      <c r="C287" s="93"/>
      <c r="D287" s="93"/>
      <c r="E287" s="93"/>
      <c r="F287" s="93"/>
      <c r="G287" s="94"/>
      <c r="H287" s="9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x14ac:dyDescent="0.35">
      <c r="A288" s="7"/>
      <c r="B288" s="93"/>
      <c r="C288" s="93"/>
      <c r="D288" s="93"/>
      <c r="E288" s="93"/>
      <c r="F288" s="93"/>
      <c r="G288" s="94"/>
      <c r="H288" s="9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x14ac:dyDescent="0.35">
      <c r="A289" s="7"/>
      <c r="B289" s="93"/>
      <c r="C289" s="93"/>
      <c r="D289" s="93"/>
      <c r="E289" s="93"/>
      <c r="F289" s="93"/>
      <c r="G289" s="94"/>
      <c r="H289" s="9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x14ac:dyDescent="0.35">
      <c r="A290" s="7"/>
      <c r="B290" s="93"/>
      <c r="C290" s="93"/>
      <c r="D290" s="93"/>
      <c r="E290" s="93"/>
      <c r="F290" s="93"/>
      <c r="G290" s="94"/>
      <c r="H290" s="9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x14ac:dyDescent="0.35">
      <c r="A291" s="7"/>
      <c r="B291" s="93"/>
      <c r="C291" s="93"/>
      <c r="D291" s="93"/>
      <c r="E291" s="93"/>
      <c r="F291" s="93"/>
      <c r="G291" s="94"/>
      <c r="H291" s="9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x14ac:dyDescent="0.35">
      <c r="A292" s="7"/>
      <c r="B292" s="93"/>
      <c r="C292" s="93"/>
      <c r="D292" s="93"/>
      <c r="E292" s="93"/>
      <c r="F292" s="93"/>
      <c r="G292" s="94"/>
      <c r="H292" s="9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x14ac:dyDescent="0.35">
      <c r="A293" s="7"/>
      <c r="B293" s="93"/>
      <c r="C293" s="93"/>
      <c r="D293" s="93"/>
      <c r="E293" s="93"/>
      <c r="F293" s="93"/>
      <c r="G293" s="94"/>
      <c r="H293" s="9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x14ac:dyDescent="0.35">
      <c r="A294" s="7"/>
      <c r="B294" s="93"/>
      <c r="C294" s="93"/>
      <c r="D294" s="93"/>
      <c r="E294" s="93"/>
      <c r="F294" s="93"/>
      <c r="G294" s="94"/>
      <c r="H294" s="9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x14ac:dyDescent="0.35">
      <c r="A295" s="7"/>
      <c r="B295" s="93"/>
      <c r="C295" s="93"/>
      <c r="D295" s="93"/>
      <c r="E295" s="93"/>
      <c r="F295" s="93"/>
      <c r="G295" s="94"/>
      <c r="H295" s="9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x14ac:dyDescent="0.35">
      <c r="A296" s="7"/>
      <c r="B296" s="93"/>
      <c r="C296" s="93"/>
      <c r="D296" s="93"/>
      <c r="E296" s="93"/>
      <c r="F296" s="93"/>
      <c r="G296" s="94"/>
      <c r="H296" s="9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x14ac:dyDescent="0.35">
      <c r="A297" s="7"/>
      <c r="B297" s="93"/>
      <c r="C297" s="93"/>
      <c r="D297" s="93"/>
      <c r="E297" s="93"/>
      <c r="F297" s="93"/>
      <c r="G297" s="94"/>
      <c r="H297" s="9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x14ac:dyDescent="0.35">
      <c r="A298" s="7"/>
      <c r="B298" s="93"/>
      <c r="C298" s="93"/>
      <c r="D298" s="93"/>
      <c r="E298" s="93"/>
      <c r="F298" s="93"/>
      <c r="G298" s="94"/>
      <c r="H298" s="9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x14ac:dyDescent="0.35">
      <c r="A299" s="7"/>
      <c r="B299" s="93"/>
      <c r="C299" s="93"/>
      <c r="D299" s="93"/>
      <c r="E299" s="93"/>
      <c r="F299" s="93"/>
      <c r="G299" s="94"/>
      <c r="H299" s="9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x14ac:dyDescent="0.35">
      <c r="A300" s="7"/>
      <c r="B300" s="93"/>
      <c r="C300" s="93"/>
      <c r="D300" s="93"/>
      <c r="E300" s="93"/>
      <c r="F300" s="93"/>
      <c r="G300" s="94"/>
      <c r="H300" s="9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x14ac:dyDescent="0.35">
      <c r="A301" s="7"/>
      <c r="B301" s="93"/>
      <c r="C301" s="93"/>
      <c r="D301" s="93"/>
      <c r="E301" s="93"/>
      <c r="F301" s="93"/>
      <c r="G301" s="94"/>
      <c r="H301" s="9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x14ac:dyDescent="0.35">
      <c r="A302" s="7"/>
      <c r="B302" s="93"/>
      <c r="C302" s="93"/>
      <c r="D302" s="93"/>
      <c r="E302" s="93"/>
      <c r="F302" s="93"/>
      <c r="G302" s="94"/>
      <c r="H302" s="9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x14ac:dyDescent="0.35">
      <c r="A303" s="7"/>
      <c r="B303" s="93"/>
      <c r="C303" s="93"/>
      <c r="D303" s="93"/>
      <c r="E303" s="93"/>
      <c r="F303" s="93"/>
      <c r="G303" s="94"/>
      <c r="H303" s="9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x14ac:dyDescent="0.35">
      <c r="A304" s="7"/>
      <c r="B304" s="93"/>
      <c r="C304" s="93"/>
      <c r="D304" s="93"/>
      <c r="E304" s="93"/>
      <c r="F304" s="93"/>
      <c r="G304" s="94"/>
      <c r="H304" s="9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x14ac:dyDescent="0.35">
      <c r="A305" s="7"/>
      <c r="B305" s="93"/>
      <c r="C305" s="93"/>
      <c r="D305" s="93"/>
      <c r="E305" s="93"/>
      <c r="F305" s="93"/>
      <c r="G305" s="94"/>
      <c r="H305" s="9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x14ac:dyDescent="0.35">
      <c r="A306" s="7"/>
      <c r="B306" s="93"/>
      <c r="C306" s="93"/>
      <c r="D306" s="93"/>
      <c r="E306" s="93"/>
      <c r="F306" s="93"/>
      <c r="G306" s="94"/>
      <c r="H306" s="9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x14ac:dyDescent="0.35">
      <c r="A307" s="7"/>
      <c r="B307" s="93"/>
      <c r="C307" s="93"/>
      <c r="D307" s="93"/>
      <c r="E307" s="93"/>
      <c r="F307" s="93"/>
      <c r="G307" s="94"/>
      <c r="H307" s="9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x14ac:dyDescent="0.35">
      <c r="A308" s="7"/>
      <c r="B308" s="93"/>
      <c r="C308" s="93"/>
      <c r="D308" s="93"/>
      <c r="E308" s="93"/>
      <c r="F308" s="93"/>
      <c r="G308" s="94"/>
      <c r="H308" s="9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x14ac:dyDescent="0.35">
      <c r="A309" s="7"/>
      <c r="B309" s="93"/>
      <c r="C309" s="93"/>
      <c r="D309" s="93"/>
      <c r="E309" s="93"/>
      <c r="F309" s="93"/>
      <c r="G309" s="94"/>
      <c r="H309" s="9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x14ac:dyDescent="0.35">
      <c r="A310" s="7"/>
      <c r="B310" s="93"/>
      <c r="C310" s="93"/>
      <c r="D310" s="93"/>
      <c r="E310" s="93"/>
      <c r="F310" s="93"/>
      <c r="G310" s="94"/>
      <c r="H310" s="9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x14ac:dyDescent="0.35">
      <c r="A311" s="7"/>
      <c r="B311" s="93"/>
      <c r="C311" s="93"/>
      <c r="D311" s="93"/>
      <c r="E311" s="93"/>
      <c r="F311" s="93"/>
      <c r="G311" s="94"/>
      <c r="H311" s="9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x14ac:dyDescent="0.35">
      <c r="A312" s="7"/>
      <c r="B312" s="93"/>
      <c r="C312" s="93"/>
      <c r="D312" s="93"/>
      <c r="E312" s="93"/>
      <c r="F312" s="93"/>
      <c r="G312" s="94"/>
      <c r="H312" s="9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x14ac:dyDescent="0.35">
      <c r="A313" s="7"/>
      <c r="B313" s="93"/>
      <c r="C313" s="93"/>
      <c r="D313" s="93"/>
      <c r="E313" s="93"/>
      <c r="F313" s="93"/>
      <c r="G313" s="94"/>
      <c r="H313" s="9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x14ac:dyDescent="0.35">
      <c r="A314" s="7"/>
      <c r="B314" s="93"/>
      <c r="C314" s="93"/>
      <c r="D314" s="93"/>
      <c r="E314" s="93"/>
      <c r="F314" s="93"/>
      <c r="G314" s="94"/>
      <c r="H314" s="9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x14ac:dyDescent="0.35">
      <c r="A315" s="7"/>
      <c r="B315" s="93"/>
      <c r="C315" s="93"/>
      <c r="D315" s="93"/>
      <c r="E315" s="93"/>
      <c r="F315" s="93"/>
      <c r="G315" s="94"/>
      <c r="H315" s="9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x14ac:dyDescent="0.35">
      <c r="A316" s="7"/>
      <c r="B316" s="93"/>
      <c r="C316" s="93"/>
      <c r="D316" s="93"/>
      <c r="E316" s="93"/>
      <c r="F316" s="93"/>
      <c r="G316" s="94"/>
      <c r="H316" s="9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x14ac:dyDescent="0.35">
      <c r="A317" s="7"/>
      <c r="B317" s="93"/>
      <c r="C317" s="93"/>
      <c r="D317" s="93"/>
      <c r="E317" s="93"/>
      <c r="F317" s="93"/>
      <c r="G317" s="94"/>
      <c r="H317" s="9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x14ac:dyDescent="0.35">
      <c r="A318" s="7"/>
      <c r="B318" s="93"/>
      <c r="C318" s="93"/>
      <c r="D318" s="93"/>
      <c r="E318" s="93"/>
      <c r="F318" s="93"/>
      <c r="G318" s="94"/>
      <c r="H318" s="9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x14ac:dyDescent="0.35">
      <c r="A319" s="7"/>
      <c r="B319" s="93"/>
      <c r="C319" s="93"/>
      <c r="D319" s="93"/>
      <c r="E319" s="93"/>
      <c r="F319" s="93"/>
      <c r="G319" s="94"/>
      <c r="H319" s="9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x14ac:dyDescent="0.35">
      <c r="A320" s="7"/>
      <c r="B320" s="93"/>
      <c r="C320" s="93"/>
      <c r="D320" s="93"/>
      <c r="E320" s="93"/>
      <c r="F320" s="93"/>
      <c r="G320" s="94"/>
      <c r="H320" s="9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x14ac:dyDescent="0.35">
      <c r="A321" s="7"/>
      <c r="B321" s="93"/>
      <c r="C321" s="93"/>
      <c r="D321" s="93"/>
      <c r="E321" s="93"/>
      <c r="F321" s="93"/>
      <c r="G321" s="94"/>
      <c r="H321" s="9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x14ac:dyDescent="0.35">
      <c r="A322" s="7"/>
      <c r="B322" s="93"/>
      <c r="C322" s="93"/>
      <c r="D322" s="93"/>
      <c r="E322" s="93"/>
      <c r="F322" s="93"/>
      <c r="G322" s="94"/>
      <c r="H322" s="9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x14ac:dyDescent="0.35">
      <c r="A323" s="7"/>
      <c r="B323" s="93"/>
      <c r="C323" s="93"/>
      <c r="D323" s="93"/>
      <c r="E323" s="93"/>
      <c r="F323" s="93"/>
      <c r="G323" s="94"/>
      <c r="H323" s="9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x14ac:dyDescent="0.35">
      <c r="A324" s="7"/>
      <c r="B324" s="93"/>
      <c r="C324" s="93"/>
      <c r="D324" s="93"/>
      <c r="E324" s="93"/>
      <c r="F324" s="93"/>
      <c r="G324" s="94"/>
      <c r="H324" s="9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x14ac:dyDescent="0.35">
      <c r="A325" s="7"/>
      <c r="B325" s="93"/>
      <c r="C325" s="93"/>
      <c r="D325" s="93"/>
      <c r="E325" s="93"/>
      <c r="F325" s="93"/>
      <c r="G325" s="94"/>
      <c r="H325" s="9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x14ac:dyDescent="0.35">
      <c r="A326" s="7"/>
      <c r="B326" s="93"/>
      <c r="C326" s="93"/>
      <c r="D326" s="93"/>
      <c r="E326" s="93"/>
      <c r="F326" s="93"/>
      <c r="G326" s="94"/>
      <c r="H326" s="9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x14ac:dyDescent="0.35">
      <c r="A327" s="7"/>
      <c r="B327" s="93"/>
      <c r="C327" s="93"/>
      <c r="D327" s="93"/>
      <c r="E327" s="93"/>
      <c r="F327" s="93"/>
      <c r="G327" s="94"/>
      <c r="H327" s="9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x14ac:dyDescent="0.35">
      <c r="A328" s="7"/>
      <c r="B328" s="93"/>
      <c r="C328" s="93"/>
      <c r="D328" s="93"/>
      <c r="E328" s="93"/>
      <c r="F328" s="93"/>
      <c r="G328" s="94"/>
      <c r="H328" s="9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x14ac:dyDescent="0.35">
      <c r="A329" s="7"/>
      <c r="B329" s="93"/>
      <c r="C329" s="93"/>
      <c r="D329" s="93"/>
      <c r="E329" s="93"/>
      <c r="F329" s="93"/>
      <c r="G329" s="94"/>
      <c r="H329" s="9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x14ac:dyDescent="0.35">
      <c r="A330" s="7"/>
      <c r="B330" s="93"/>
      <c r="C330" s="93"/>
      <c r="D330" s="93"/>
      <c r="E330" s="93"/>
      <c r="F330" s="93"/>
      <c r="G330" s="94"/>
      <c r="H330" s="9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x14ac:dyDescent="0.35">
      <c r="A331" s="7"/>
      <c r="B331" s="93"/>
      <c r="C331" s="93"/>
      <c r="D331" s="93"/>
      <c r="E331" s="93"/>
      <c r="F331" s="93"/>
      <c r="G331" s="94"/>
      <c r="H331" s="9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x14ac:dyDescent="0.35">
      <c r="A332" s="7"/>
      <c r="B332" s="93"/>
      <c r="C332" s="93"/>
      <c r="D332" s="93"/>
      <c r="E332" s="93"/>
      <c r="F332" s="93"/>
      <c r="G332" s="94"/>
      <c r="H332" s="9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x14ac:dyDescent="0.35">
      <c r="A333" s="7"/>
      <c r="B333" s="93"/>
      <c r="C333" s="93"/>
      <c r="D333" s="93"/>
      <c r="E333" s="93"/>
      <c r="F333" s="93"/>
      <c r="G333" s="94"/>
      <c r="H333" s="9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x14ac:dyDescent="0.35">
      <c r="A334" s="7"/>
      <c r="B334" s="93"/>
      <c r="C334" s="93"/>
      <c r="D334" s="93"/>
      <c r="E334" s="93"/>
      <c r="F334" s="93"/>
      <c r="G334" s="94"/>
      <c r="H334" s="9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x14ac:dyDescent="0.35">
      <c r="A335" s="7"/>
      <c r="B335" s="93"/>
      <c r="C335" s="93"/>
      <c r="D335" s="93"/>
      <c r="E335" s="93"/>
      <c r="F335" s="93"/>
      <c r="G335" s="94"/>
      <c r="H335" s="9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x14ac:dyDescent="0.35">
      <c r="A336" s="7"/>
      <c r="B336" s="93"/>
      <c r="C336" s="93"/>
      <c r="D336" s="93"/>
      <c r="E336" s="93"/>
      <c r="F336" s="93"/>
      <c r="G336" s="94"/>
      <c r="H336" s="9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x14ac:dyDescent="0.35">
      <c r="A337" s="7"/>
      <c r="B337" s="93"/>
      <c r="C337" s="93"/>
      <c r="D337" s="93"/>
      <c r="E337" s="93"/>
      <c r="F337" s="93"/>
      <c r="G337" s="94"/>
      <c r="H337" s="9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x14ac:dyDescent="0.35">
      <c r="A338" s="7"/>
      <c r="B338" s="93"/>
      <c r="C338" s="93"/>
      <c r="D338" s="93"/>
      <c r="E338" s="93"/>
      <c r="F338" s="93"/>
      <c r="G338" s="94"/>
      <c r="H338" s="9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x14ac:dyDescent="0.35">
      <c r="A339" s="7"/>
      <c r="B339" s="93"/>
      <c r="C339" s="93"/>
      <c r="D339" s="93"/>
      <c r="E339" s="93"/>
      <c r="F339" s="93"/>
      <c r="G339" s="94"/>
      <c r="H339" s="9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x14ac:dyDescent="0.35">
      <c r="A340" s="7"/>
      <c r="B340" s="93"/>
      <c r="C340" s="93"/>
      <c r="D340" s="93"/>
      <c r="E340" s="93"/>
      <c r="F340" s="93"/>
      <c r="G340" s="94"/>
      <c r="H340" s="9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x14ac:dyDescent="0.35">
      <c r="A341" s="7"/>
      <c r="B341" s="93"/>
      <c r="C341" s="93"/>
      <c r="D341" s="93"/>
      <c r="E341" s="93"/>
      <c r="F341" s="93"/>
      <c r="G341" s="94"/>
      <c r="H341" s="9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x14ac:dyDescent="0.35">
      <c r="A342" s="7"/>
      <c r="B342" s="93"/>
      <c r="C342" s="93"/>
      <c r="D342" s="93"/>
      <c r="E342" s="93"/>
      <c r="F342" s="93"/>
      <c r="G342" s="94"/>
      <c r="H342" s="9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x14ac:dyDescent="0.35">
      <c r="A343" s="7"/>
      <c r="B343" s="93"/>
      <c r="C343" s="93"/>
      <c r="D343" s="93"/>
      <c r="E343" s="93"/>
      <c r="F343" s="93"/>
      <c r="G343" s="94"/>
      <c r="H343" s="9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x14ac:dyDescent="0.35">
      <c r="A344" s="7"/>
      <c r="B344" s="93"/>
      <c r="C344" s="93"/>
      <c r="D344" s="93"/>
      <c r="E344" s="93"/>
      <c r="F344" s="93"/>
      <c r="G344" s="94"/>
      <c r="H344" s="9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x14ac:dyDescent="0.35">
      <c r="A345" s="7"/>
      <c r="B345" s="93"/>
      <c r="C345" s="93"/>
      <c r="D345" s="93"/>
      <c r="E345" s="93"/>
      <c r="F345" s="93"/>
      <c r="G345" s="94"/>
      <c r="H345" s="9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x14ac:dyDescent="0.35">
      <c r="A346" s="7"/>
      <c r="B346" s="93"/>
      <c r="C346" s="93"/>
      <c r="D346" s="93"/>
      <c r="E346" s="93"/>
      <c r="F346" s="93"/>
      <c r="G346" s="94"/>
      <c r="H346" s="9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x14ac:dyDescent="0.35">
      <c r="A347" s="7"/>
      <c r="B347" s="93"/>
      <c r="C347" s="93"/>
      <c r="D347" s="93"/>
      <c r="E347" s="93"/>
      <c r="F347" s="93"/>
      <c r="G347" s="94"/>
      <c r="H347" s="9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x14ac:dyDescent="0.35">
      <c r="A348" s="7"/>
      <c r="B348" s="93"/>
      <c r="C348" s="93"/>
      <c r="D348" s="93"/>
      <c r="E348" s="93"/>
      <c r="F348" s="93"/>
      <c r="G348" s="94"/>
      <c r="H348" s="9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x14ac:dyDescent="0.35">
      <c r="A349" s="7"/>
      <c r="B349" s="93"/>
      <c r="C349" s="93"/>
      <c r="D349" s="93"/>
      <c r="E349" s="93"/>
      <c r="F349" s="93"/>
      <c r="G349" s="94"/>
      <c r="H349" s="9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x14ac:dyDescent="0.35">
      <c r="A350" s="7"/>
      <c r="B350" s="93"/>
      <c r="C350" s="93"/>
      <c r="D350" s="93"/>
      <c r="E350" s="93"/>
      <c r="F350" s="93"/>
      <c r="G350" s="94"/>
      <c r="H350" s="9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x14ac:dyDescent="0.35">
      <c r="A351" s="7"/>
      <c r="B351" s="93"/>
      <c r="C351" s="93"/>
      <c r="D351" s="93"/>
      <c r="E351" s="93"/>
      <c r="F351" s="93"/>
      <c r="G351" s="94"/>
      <c r="H351" s="9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x14ac:dyDescent="0.35">
      <c r="A352" s="7"/>
      <c r="B352" s="93"/>
      <c r="C352" s="93"/>
      <c r="D352" s="93"/>
      <c r="E352" s="93"/>
      <c r="F352" s="93"/>
      <c r="G352" s="94"/>
      <c r="H352" s="9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x14ac:dyDescent="0.35">
      <c r="A353" s="7"/>
      <c r="B353" s="93"/>
      <c r="C353" s="93"/>
      <c r="D353" s="93"/>
      <c r="E353" s="93"/>
      <c r="F353" s="93"/>
      <c r="G353" s="94"/>
      <c r="H353" s="9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x14ac:dyDescent="0.35">
      <c r="A354" s="7"/>
      <c r="B354" s="93"/>
      <c r="C354" s="93"/>
      <c r="D354" s="93"/>
      <c r="E354" s="93"/>
      <c r="F354" s="93"/>
      <c r="G354" s="94"/>
      <c r="H354" s="9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x14ac:dyDescent="0.35">
      <c r="A355" s="7"/>
      <c r="B355" s="93"/>
      <c r="C355" s="93"/>
      <c r="D355" s="93"/>
      <c r="E355" s="93"/>
      <c r="F355" s="93"/>
      <c r="G355" s="94"/>
      <c r="H355" s="9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x14ac:dyDescent="0.35">
      <c r="A356" s="7"/>
      <c r="B356" s="93"/>
      <c r="C356" s="93"/>
      <c r="D356" s="93"/>
      <c r="E356" s="93"/>
      <c r="F356" s="93"/>
      <c r="G356" s="94"/>
      <c r="H356" s="9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x14ac:dyDescent="0.35">
      <c r="A357" s="7"/>
      <c r="B357" s="93"/>
      <c r="C357" s="93"/>
      <c r="D357" s="93"/>
      <c r="E357" s="93"/>
      <c r="F357" s="93"/>
      <c r="G357" s="94"/>
      <c r="H357" s="9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x14ac:dyDescent="0.35">
      <c r="A358" s="7"/>
      <c r="B358" s="93"/>
      <c r="C358" s="93"/>
      <c r="D358" s="93"/>
      <c r="E358" s="93"/>
      <c r="F358" s="93"/>
      <c r="G358" s="94"/>
      <c r="H358" s="9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x14ac:dyDescent="0.35">
      <c r="A359" s="7"/>
      <c r="B359" s="93"/>
      <c r="C359" s="93"/>
      <c r="D359" s="93"/>
      <c r="E359" s="93"/>
      <c r="F359" s="93"/>
      <c r="G359" s="94"/>
      <c r="H359" s="9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x14ac:dyDescent="0.35">
      <c r="A360" s="7"/>
      <c r="B360" s="93"/>
      <c r="C360" s="93"/>
      <c r="D360" s="93"/>
      <c r="E360" s="93"/>
      <c r="F360" s="93"/>
      <c r="G360" s="94"/>
      <c r="H360" s="9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x14ac:dyDescent="0.35">
      <c r="A361" s="7"/>
      <c r="B361" s="93"/>
      <c r="C361" s="93"/>
      <c r="D361" s="93"/>
      <c r="E361" s="93"/>
      <c r="F361" s="93"/>
      <c r="G361" s="94"/>
      <c r="H361" s="9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x14ac:dyDescent="0.35">
      <c r="A362" s="7"/>
      <c r="B362" s="93"/>
      <c r="C362" s="93"/>
      <c r="D362" s="93"/>
      <c r="E362" s="93"/>
      <c r="F362" s="93"/>
      <c r="G362" s="94"/>
      <c r="H362" s="9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x14ac:dyDescent="0.35">
      <c r="A363" s="7"/>
      <c r="B363" s="93"/>
      <c r="C363" s="93"/>
      <c r="D363" s="93"/>
      <c r="E363" s="93"/>
      <c r="F363" s="93"/>
      <c r="G363" s="94"/>
      <c r="H363" s="9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x14ac:dyDescent="0.35">
      <c r="A364" s="7"/>
      <c r="B364" s="93"/>
      <c r="C364" s="93"/>
      <c r="D364" s="93"/>
      <c r="E364" s="93"/>
      <c r="F364" s="93"/>
      <c r="G364" s="94"/>
      <c r="H364" s="9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x14ac:dyDescent="0.35">
      <c r="A365" s="7"/>
      <c r="B365" s="93"/>
      <c r="C365" s="93"/>
      <c r="D365" s="93"/>
      <c r="E365" s="93"/>
      <c r="F365" s="93"/>
      <c r="G365" s="94"/>
      <c r="H365" s="9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x14ac:dyDescent="0.35">
      <c r="A366" s="7"/>
      <c r="B366" s="93"/>
      <c r="C366" s="93"/>
      <c r="D366" s="93"/>
      <c r="E366" s="93"/>
      <c r="F366" s="93"/>
      <c r="G366" s="94"/>
      <c r="H366" s="9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x14ac:dyDescent="0.35">
      <c r="A367" s="7"/>
      <c r="B367" s="93"/>
      <c r="C367" s="93"/>
      <c r="D367" s="93"/>
      <c r="E367" s="93"/>
      <c r="F367" s="93"/>
      <c r="G367" s="94"/>
      <c r="H367" s="9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x14ac:dyDescent="0.35">
      <c r="A368" s="7"/>
      <c r="B368" s="93"/>
      <c r="C368" s="93"/>
      <c r="D368" s="93"/>
      <c r="E368" s="93"/>
      <c r="F368" s="93"/>
      <c r="G368" s="94"/>
      <c r="H368" s="9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x14ac:dyDescent="0.35">
      <c r="A369" s="7"/>
      <c r="B369" s="93"/>
      <c r="C369" s="93"/>
      <c r="D369" s="93"/>
      <c r="E369" s="93"/>
      <c r="F369" s="93"/>
      <c r="G369" s="94"/>
      <c r="H369" s="9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x14ac:dyDescent="0.35">
      <c r="A370" s="7"/>
      <c r="B370" s="93"/>
      <c r="C370" s="93"/>
      <c r="D370" s="93"/>
      <c r="E370" s="93"/>
      <c r="F370" s="93"/>
      <c r="G370" s="94"/>
      <c r="H370" s="9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x14ac:dyDescent="0.35">
      <c r="A371" s="7"/>
      <c r="B371" s="93"/>
      <c r="C371" s="93"/>
      <c r="D371" s="93"/>
      <c r="E371" s="93"/>
      <c r="F371" s="93"/>
      <c r="G371" s="94"/>
      <c r="H371" s="9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x14ac:dyDescent="0.35">
      <c r="A372" s="7"/>
      <c r="B372" s="93"/>
      <c r="C372" s="93"/>
      <c r="D372" s="93"/>
      <c r="E372" s="93"/>
      <c r="F372" s="93"/>
      <c r="G372" s="94"/>
      <c r="H372" s="9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x14ac:dyDescent="0.35">
      <c r="A373" s="7"/>
      <c r="B373" s="93"/>
      <c r="C373" s="93"/>
      <c r="D373" s="93"/>
      <c r="E373" s="93"/>
      <c r="F373" s="93"/>
      <c r="G373" s="94"/>
      <c r="H373" s="9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x14ac:dyDescent="0.35">
      <c r="A374" s="7"/>
      <c r="B374" s="93"/>
      <c r="C374" s="93"/>
      <c r="D374" s="93"/>
      <c r="E374" s="93"/>
      <c r="F374" s="93"/>
      <c r="G374" s="94"/>
      <c r="H374" s="9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x14ac:dyDescent="0.35">
      <c r="A375" s="7"/>
      <c r="B375" s="93"/>
      <c r="C375" s="93"/>
      <c r="D375" s="93"/>
      <c r="E375" s="93"/>
      <c r="F375" s="93"/>
      <c r="G375" s="94"/>
      <c r="H375" s="9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x14ac:dyDescent="0.35">
      <c r="A376" s="7"/>
      <c r="B376" s="93"/>
      <c r="C376" s="93"/>
      <c r="D376" s="93"/>
      <c r="E376" s="93"/>
      <c r="F376" s="93"/>
      <c r="G376" s="94"/>
      <c r="H376" s="9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x14ac:dyDescent="0.35">
      <c r="A377" s="7"/>
      <c r="B377" s="93"/>
      <c r="C377" s="93"/>
      <c r="D377" s="93"/>
      <c r="E377" s="93"/>
      <c r="F377" s="93"/>
      <c r="G377" s="94"/>
      <c r="H377" s="9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x14ac:dyDescent="0.35">
      <c r="A378" s="7"/>
      <c r="B378" s="93"/>
      <c r="C378" s="93"/>
      <c r="D378" s="93"/>
      <c r="E378" s="93"/>
      <c r="F378" s="93"/>
      <c r="G378" s="94"/>
      <c r="H378" s="9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x14ac:dyDescent="0.35">
      <c r="A379" s="7"/>
      <c r="B379" s="93"/>
      <c r="C379" s="93"/>
      <c r="D379" s="93"/>
      <c r="E379" s="93"/>
      <c r="F379" s="93"/>
      <c r="G379" s="94"/>
      <c r="H379" s="9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x14ac:dyDescent="0.35">
      <c r="A380" s="7"/>
      <c r="B380" s="93"/>
      <c r="C380" s="93"/>
      <c r="D380" s="93"/>
      <c r="E380" s="93"/>
      <c r="F380" s="93"/>
      <c r="G380" s="94"/>
      <c r="H380" s="9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x14ac:dyDescent="0.35">
      <c r="A381" s="7"/>
      <c r="B381" s="93"/>
      <c r="C381" s="93"/>
      <c r="D381" s="93"/>
      <c r="E381" s="93"/>
      <c r="F381" s="93"/>
      <c r="G381" s="94"/>
      <c r="H381" s="9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x14ac:dyDescent="0.35">
      <c r="A382" s="7"/>
      <c r="B382" s="93"/>
      <c r="C382" s="93"/>
      <c r="D382" s="93"/>
      <c r="E382" s="93"/>
      <c r="F382" s="93"/>
      <c r="G382" s="94"/>
      <c r="H382" s="9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x14ac:dyDescent="0.35">
      <c r="A383" s="7"/>
      <c r="B383" s="93"/>
      <c r="C383" s="93"/>
      <c r="D383" s="93"/>
      <c r="E383" s="93"/>
      <c r="F383" s="93"/>
      <c r="G383" s="94"/>
      <c r="H383" s="9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x14ac:dyDescent="0.35">
      <c r="A384" s="7"/>
      <c r="B384" s="93"/>
      <c r="C384" s="93"/>
      <c r="D384" s="93"/>
      <c r="E384" s="93"/>
      <c r="F384" s="93"/>
      <c r="G384" s="94"/>
      <c r="H384" s="9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x14ac:dyDescent="0.35">
      <c r="A385" s="7"/>
      <c r="B385" s="93"/>
      <c r="C385" s="93"/>
      <c r="D385" s="93"/>
      <c r="E385" s="93"/>
      <c r="F385" s="93"/>
      <c r="G385" s="94"/>
      <c r="H385" s="9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x14ac:dyDescent="0.35">
      <c r="A386" s="7"/>
      <c r="B386" s="93"/>
      <c r="C386" s="93"/>
      <c r="D386" s="93"/>
      <c r="E386" s="93"/>
      <c r="F386" s="93"/>
      <c r="G386" s="94"/>
      <c r="H386" s="9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x14ac:dyDescent="0.35">
      <c r="A387" s="7"/>
      <c r="B387" s="93"/>
      <c r="C387" s="93"/>
      <c r="D387" s="93"/>
      <c r="E387" s="93"/>
      <c r="F387" s="93"/>
      <c r="G387" s="94"/>
      <c r="H387" s="9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x14ac:dyDescent="0.35">
      <c r="A388" s="7"/>
      <c r="B388" s="93"/>
      <c r="C388" s="93"/>
      <c r="D388" s="93"/>
      <c r="E388" s="93"/>
      <c r="F388" s="93"/>
      <c r="G388" s="94"/>
      <c r="H388" s="9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x14ac:dyDescent="0.35">
      <c r="A389" s="7"/>
      <c r="B389" s="93"/>
      <c r="C389" s="93"/>
      <c r="D389" s="93"/>
      <c r="E389" s="93"/>
      <c r="F389" s="93"/>
      <c r="G389" s="94"/>
      <c r="H389" s="9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x14ac:dyDescent="0.35">
      <c r="A390" s="7"/>
      <c r="B390" s="93"/>
      <c r="C390" s="93"/>
      <c r="D390" s="93"/>
      <c r="E390" s="93"/>
      <c r="F390" s="93"/>
      <c r="G390" s="94"/>
      <c r="H390" s="9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x14ac:dyDescent="0.35">
      <c r="A391" s="7"/>
      <c r="B391" s="93"/>
      <c r="C391" s="93"/>
      <c r="D391" s="93"/>
      <c r="E391" s="93"/>
      <c r="F391" s="93"/>
      <c r="G391" s="94"/>
      <c r="H391" s="9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x14ac:dyDescent="0.35">
      <c r="A392" s="7"/>
      <c r="B392" s="93"/>
      <c r="C392" s="93"/>
      <c r="D392" s="93"/>
      <c r="E392" s="93"/>
      <c r="F392" s="93"/>
      <c r="G392" s="94"/>
      <c r="H392" s="9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x14ac:dyDescent="0.35">
      <c r="A393" s="7"/>
      <c r="B393" s="93"/>
      <c r="C393" s="93"/>
      <c r="D393" s="93"/>
      <c r="E393" s="93"/>
      <c r="F393" s="93"/>
      <c r="G393" s="94"/>
      <c r="H393" s="9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x14ac:dyDescent="0.35">
      <c r="A394" s="7"/>
      <c r="B394" s="93"/>
      <c r="C394" s="93"/>
      <c r="D394" s="93"/>
      <c r="E394" s="93"/>
      <c r="F394" s="93"/>
      <c r="G394" s="94"/>
      <c r="H394" s="9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x14ac:dyDescent="0.35">
      <c r="A395" s="7"/>
      <c r="B395" s="93"/>
      <c r="C395" s="93"/>
      <c r="D395" s="93"/>
      <c r="E395" s="93"/>
      <c r="F395" s="93"/>
      <c r="G395" s="94"/>
      <c r="H395" s="9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x14ac:dyDescent="0.35">
      <c r="A396" s="7"/>
      <c r="B396" s="93"/>
      <c r="C396" s="93"/>
      <c r="D396" s="93"/>
      <c r="E396" s="93"/>
      <c r="F396" s="93"/>
      <c r="G396" s="94"/>
      <c r="H396" s="9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x14ac:dyDescent="0.35">
      <c r="A397" s="7"/>
      <c r="B397" s="93"/>
      <c r="C397" s="93"/>
      <c r="D397" s="93"/>
      <c r="E397" s="93"/>
      <c r="F397" s="93"/>
      <c r="G397" s="94"/>
      <c r="H397" s="9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x14ac:dyDescent="0.35">
      <c r="A398" s="7"/>
      <c r="B398" s="93"/>
      <c r="C398" s="93"/>
      <c r="D398" s="93"/>
      <c r="E398" s="93"/>
      <c r="F398" s="93"/>
      <c r="G398" s="94"/>
      <c r="H398" s="9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x14ac:dyDescent="0.35">
      <c r="A399" s="7"/>
      <c r="B399" s="93"/>
      <c r="C399" s="93"/>
      <c r="D399" s="93"/>
      <c r="E399" s="93"/>
      <c r="F399" s="93"/>
      <c r="G399" s="94"/>
      <c r="H399" s="9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x14ac:dyDescent="0.35">
      <c r="A400" s="7"/>
      <c r="B400" s="93"/>
      <c r="C400" s="93"/>
      <c r="D400" s="93"/>
      <c r="E400" s="93"/>
      <c r="F400" s="93"/>
      <c r="G400" s="94"/>
      <c r="H400" s="9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x14ac:dyDescent="0.35">
      <c r="A401" s="7"/>
      <c r="B401" s="93"/>
      <c r="C401" s="93"/>
      <c r="D401" s="93"/>
      <c r="E401" s="93"/>
      <c r="F401" s="93"/>
      <c r="G401" s="94"/>
      <c r="H401" s="9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x14ac:dyDescent="0.35">
      <c r="A402" s="7"/>
      <c r="B402" s="93"/>
      <c r="C402" s="93"/>
      <c r="D402" s="93"/>
      <c r="E402" s="93"/>
      <c r="F402" s="93"/>
      <c r="G402" s="94"/>
      <c r="H402" s="9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x14ac:dyDescent="0.35">
      <c r="A403" s="7"/>
      <c r="B403" s="93"/>
      <c r="C403" s="93"/>
      <c r="D403" s="93"/>
      <c r="E403" s="93"/>
      <c r="F403" s="93"/>
      <c r="G403" s="94"/>
      <c r="H403" s="9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x14ac:dyDescent="0.35">
      <c r="A404" s="7"/>
      <c r="B404" s="93"/>
      <c r="C404" s="93"/>
      <c r="D404" s="93"/>
      <c r="E404" s="93"/>
      <c r="F404" s="93"/>
      <c r="G404" s="94"/>
      <c r="H404" s="9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x14ac:dyDescent="0.35">
      <c r="A405" s="7"/>
      <c r="B405" s="93"/>
      <c r="C405" s="93"/>
      <c r="D405" s="93"/>
      <c r="E405" s="93"/>
      <c r="F405" s="93"/>
      <c r="G405" s="94"/>
      <c r="H405" s="9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x14ac:dyDescent="0.35">
      <c r="A406" s="7"/>
      <c r="B406" s="93"/>
      <c r="C406" s="93"/>
      <c r="D406" s="93"/>
      <c r="E406" s="93"/>
      <c r="F406" s="93"/>
      <c r="G406" s="94"/>
      <c r="H406" s="9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x14ac:dyDescent="0.35">
      <c r="A407" s="7"/>
      <c r="B407" s="93"/>
      <c r="C407" s="93"/>
      <c r="D407" s="93"/>
      <c r="E407" s="93"/>
      <c r="F407" s="93"/>
      <c r="G407" s="94"/>
      <c r="H407" s="9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x14ac:dyDescent="0.35">
      <c r="A408" s="7"/>
      <c r="B408" s="93"/>
      <c r="C408" s="93"/>
      <c r="D408" s="93"/>
      <c r="E408" s="93"/>
      <c r="F408" s="93"/>
      <c r="G408" s="94"/>
      <c r="H408" s="9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x14ac:dyDescent="0.35">
      <c r="A409" s="7"/>
      <c r="B409" s="93"/>
      <c r="C409" s="93"/>
      <c r="D409" s="93"/>
      <c r="E409" s="93"/>
      <c r="F409" s="93"/>
      <c r="G409" s="94"/>
      <c r="H409" s="9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x14ac:dyDescent="0.35">
      <c r="A410" s="7"/>
      <c r="B410" s="93"/>
      <c r="C410" s="93"/>
      <c r="D410" s="93"/>
      <c r="E410" s="93"/>
      <c r="F410" s="93"/>
      <c r="G410" s="94"/>
      <c r="H410" s="9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x14ac:dyDescent="0.35">
      <c r="A411" s="7"/>
      <c r="B411" s="93"/>
      <c r="C411" s="93"/>
      <c r="D411" s="93"/>
      <c r="E411" s="93"/>
      <c r="F411" s="93"/>
      <c r="G411" s="94"/>
      <c r="H411" s="9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x14ac:dyDescent="0.35">
      <c r="A412" s="7"/>
      <c r="B412" s="93"/>
      <c r="C412" s="93"/>
      <c r="D412" s="93"/>
      <c r="E412" s="93"/>
      <c r="F412" s="93"/>
      <c r="G412" s="94"/>
      <c r="H412" s="9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x14ac:dyDescent="0.35">
      <c r="A413" s="7"/>
      <c r="B413" s="93"/>
      <c r="C413" s="93"/>
      <c r="D413" s="93"/>
      <c r="E413" s="93"/>
      <c r="F413" s="93"/>
      <c r="G413" s="94"/>
      <c r="H413" s="9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x14ac:dyDescent="0.35">
      <c r="A414" s="7"/>
      <c r="B414" s="93"/>
      <c r="C414" s="93"/>
      <c r="D414" s="93"/>
      <c r="E414" s="93"/>
      <c r="F414" s="93"/>
      <c r="G414" s="94"/>
      <c r="H414" s="9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x14ac:dyDescent="0.35">
      <c r="A415" s="7"/>
      <c r="B415" s="93"/>
      <c r="C415" s="93"/>
      <c r="D415" s="93"/>
      <c r="E415" s="93"/>
      <c r="F415" s="93"/>
      <c r="G415" s="94"/>
      <c r="H415" s="9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x14ac:dyDescent="0.35">
      <c r="A416" s="7"/>
      <c r="B416" s="93"/>
      <c r="C416" s="93"/>
      <c r="D416" s="93"/>
      <c r="E416" s="93"/>
      <c r="F416" s="93"/>
      <c r="G416" s="94"/>
      <c r="H416" s="9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x14ac:dyDescent="0.35">
      <c r="A417" s="7"/>
      <c r="B417" s="93"/>
      <c r="C417" s="93"/>
      <c r="D417" s="93"/>
      <c r="E417" s="93"/>
      <c r="F417" s="93"/>
      <c r="G417" s="94"/>
      <c r="H417" s="9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x14ac:dyDescent="0.35">
      <c r="A418" s="7"/>
      <c r="B418" s="93"/>
      <c r="C418" s="93"/>
      <c r="D418" s="93"/>
      <c r="E418" s="93"/>
      <c r="F418" s="93"/>
      <c r="G418" s="94"/>
      <c r="H418" s="9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x14ac:dyDescent="0.35">
      <c r="A419" s="7"/>
      <c r="B419" s="93"/>
      <c r="C419" s="93"/>
      <c r="D419" s="93"/>
      <c r="E419" s="93"/>
      <c r="F419" s="93"/>
      <c r="G419" s="94"/>
      <c r="H419" s="9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x14ac:dyDescent="0.35">
      <c r="A420" s="7"/>
      <c r="B420" s="93"/>
      <c r="C420" s="93"/>
      <c r="D420" s="93"/>
      <c r="E420" s="93"/>
      <c r="F420" s="93"/>
      <c r="G420" s="94"/>
      <c r="H420" s="9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x14ac:dyDescent="0.35">
      <c r="A421" s="7"/>
      <c r="B421" s="93"/>
      <c r="C421" s="93"/>
      <c r="D421" s="93"/>
      <c r="E421" s="93"/>
      <c r="F421" s="93"/>
      <c r="G421" s="94"/>
      <c r="H421" s="9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x14ac:dyDescent="0.35">
      <c r="A422" s="7"/>
      <c r="B422" s="93"/>
      <c r="C422" s="93"/>
      <c r="D422" s="93"/>
      <c r="E422" s="93"/>
      <c r="F422" s="93"/>
      <c r="G422" s="94"/>
      <c r="H422" s="9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x14ac:dyDescent="0.35">
      <c r="A423" s="7"/>
      <c r="B423" s="93"/>
      <c r="C423" s="93"/>
      <c r="D423" s="93"/>
      <c r="E423" s="93"/>
      <c r="F423" s="93"/>
      <c r="G423" s="94"/>
      <c r="H423" s="9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x14ac:dyDescent="0.35">
      <c r="A424" s="7"/>
      <c r="B424" s="93"/>
      <c r="C424" s="93"/>
      <c r="D424" s="93"/>
      <c r="E424" s="93"/>
      <c r="F424" s="93"/>
      <c r="G424" s="94"/>
      <c r="H424" s="9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x14ac:dyDescent="0.35">
      <c r="A425" s="7"/>
      <c r="B425" s="93"/>
      <c r="C425" s="93"/>
      <c r="D425" s="93"/>
      <c r="E425" s="93"/>
      <c r="F425" s="93"/>
      <c r="G425" s="94"/>
      <c r="H425" s="9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x14ac:dyDescent="0.35">
      <c r="A426" s="7"/>
      <c r="B426" s="93"/>
      <c r="C426" s="93"/>
      <c r="D426" s="93"/>
      <c r="E426" s="93"/>
      <c r="F426" s="93"/>
      <c r="G426" s="94"/>
      <c r="H426" s="9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x14ac:dyDescent="0.35">
      <c r="A427" s="7"/>
      <c r="B427" s="93"/>
      <c r="C427" s="93"/>
      <c r="D427" s="93"/>
      <c r="E427" s="93"/>
      <c r="F427" s="93"/>
      <c r="G427" s="94"/>
      <c r="H427" s="9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x14ac:dyDescent="0.35">
      <c r="A428" s="7"/>
      <c r="B428" s="93"/>
      <c r="C428" s="93"/>
      <c r="D428" s="93"/>
      <c r="E428" s="93"/>
      <c r="F428" s="93"/>
      <c r="G428" s="94"/>
      <c r="H428" s="9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x14ac:dyDescent="0.35">
      <c r="A429" s="7"/>
      <c r="B429" s="93"/>
      <c r="C429" s="93"/>
      <c r="D429" s="93"/>
      <c r="E429" s="93"/>
      <c r="F429" s="93"/>
      <c r="G429" s="94"/>
      <c r="H429" s="9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x14ac:dyDescent="0.35">
      <c r="A430" s="7"/>
      <c r="B430" s="93"/>
      <c r="C430" s="93"/>
      <c r="D430" s="93"/>
      <c r="E430" s="93"/>
      <c r="F430" s="93"/>
      <c r="G430" s="94"/>
      <c r="H430" s="9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x14ac:dyDescent="0.35">
      <c r="A431" s="7"/>
      <c r="B431" s="93"/>
      <c r="C431" s="93"/>
      <c r="D431" s="93"/>
      <c r="E431" s="93"/>
      <c r="F431" s="93"/>
      <c r="G431" s="94"/>
      <c r="H431" s="9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x14ac:dyDescent="0.35">
      <c r="A432" s="7"/>
      <c r="B432" s="93"/>
      <c r="C432" s="93"/>
      <c r="D432" s="93"/>
      <c r="E432" s="93"/>
      <c r="F432" s="93"/>
      <c r="G432" s="94"/>
      <c r="H432" s="9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x14ac:dyDescent="0.35">
      <c r="A433" s="7"/>
      <c r="B433" s="93"/>
      <c r="C433" s="93"/>
      <c r="D433" s="93"/>
      <c r="E433" s="93"/>
      <c r="F433" s="93"/>
      <c r="G433" s="94"/>
      <c r="H433" s="9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x14ac:dyDescent="0.35">
      <c r="A434" s="7"/>
      <c r="B434" s="93"/>
      <c r="C434" s="93"/>
      <c r="D434" s="93"/>
      <c r="E434" s="93"/>
      <c r="F434" s="93"/>
      <c r="G434" s="94"/>
      <c r="H434" s="9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x14ac:dyDescent="0.35">
      <c r="A435" s="7"/>
      <c r="B435" s="93"/>
      <c r="C435" s="93"/>
      <c r="D435" s="93"/>
      <c r="E435" s="93"/>
      <c r="F435" s="93"/>
      <c r="G435" s="94"/>
      <c r="H435" s="9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x14ac:dyDescent="0.35">
      <c r="A436" s="7"/>
      <c r="B436" s="93"/>
      <c r="C436" s="93"/>
      <c r="D436" s="93"/>
      <c r="E436" s="93"/>
      <c r="F436" s="93"/>
      <c r="G436" s="94"/>
      <c r="H436" s="9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x14ac:dyDescent="0.35">
      <c r="A437" s="7"/>
      <c r="B437" s="93"/>
      <c r="C437" s="93"/>
      <c r="D437" s="93"/>
      <c r="E437" s="93"/>
      <c r="F437" s="93"/>
      <c r="G437" s="94"/>
      <c r="H437" s="9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x14ac:dyDescent="0.35">
      <c r="A438" s="7"/>
      <c r="B438" s="93"/>
      <c r="C438" s="93"/>
      <c r="D438" s="93"/>
      <c r="E438" s="93"/>
      <c r="F438" s="93"/>
      <c r="G438" s="94"/>
      <c r="H438" s="9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x14ac:dyDescent="0.35">
      <c r="A439" s="7"/>
      <c r="B439" s="93"/>
      <c r="C439" s="93"/>
      <c r="D439" s="93"/>
      <c r="E439" s="93"/>
      <c r="F439" s="93"/>
      <c r="G439" s="94"/>
      <c r="H439" s="9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x14ac:dyDescent="0.35">
      <c r="A440" s="7"/>
      <c r="B440" s="93"/>
      <c r="C440" s="93"/>
      <c r="D440" s="93"/>
      <c r="E440" s="93"/>
      <c r="F440" s="93"/>
      <c r="G440" s="94"/>
      <c r="H440" s="9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x14ac:dyDescent="0.35">
      <c r="A441" s="7"/>
      <c r="B441" s="93"/>
      <c r="C441" s="93"/>
      <c r="D441" s="93"/>
      <c r="E441" s="93"/>
      <c r="F441" s="93"/>
      <c r="G441" s="94"/>
      <c r="H441" s="9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x14ac:dyDescent="0.35">
      <c r="A442" s="7"/>
      <c r="B442" s="93"/>
      <c r="C442" s="93"/>
      <c r="D442" s="93"/>
      <c r="E442" s="93"/>
      <c r="F442" s="93"/>
      <c r="G442" s="94"/>
      <c r="H442" s="9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x14ac:dyDescent="0.35">
      <c r="A443" s="7"/>
      <c r="B443" s="93"/>
      <c r="C443" s="93"/>
      <c r="D443" s="93"/>
      <c r="E443" s="93"/>
      <c r="F443" s="93"/>
      <c r="G443" s="94"/>
      <c r="H443" s="9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x14ac:dyDescent="0.35">
      <c r="A444" s="7"/>
      <c r="B444" s="93"/>
      <c r="C444" s="93"/>
      <c r="D444" s="93"/>
      <c r="E444" s="93"/>
      <c r="F444" s="93"/>
      <c r="G444" s="94"/>
      <c r="H444" s="9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x14ac:dyDescent="0.35">
      <c r="A445" s="7"/>
      <c r="B445" s="93"/>
      <c r="C445" s="93"/>
      <c r="D445" s="93"/>
      <c r="E445" s="93"/>
      <c r="F445" s="93"/>
      <c r="G445" s="94"/>
      <c r="H445" s="9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x14ac:dyDescent="0.35">
      <c r="A446" s="7"/>
      <c r="B446" s="93"/>
      <c r="C446" s="93"/>
      <c r="D446" s="93"/>
      <c r="E446" s="93"/>
      <c r="F446" s="93"/>
      <c r="G446" s="94"/>
      <c r="H446" s="9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x14ac:dyDescent="0.35">
      <c r="A447" s="7"/>
      <c r="B447" s="93"/>
      <c r="C447" s="93"/>
      <c r="D447" s="93"/>
      <c r="E447" s="93"/>
      <c r="F447" s="93"/>
      <c r="G447" s="94"/>
      <c r="H447" s="9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x14ac:dyDescent="0.35">
      <c r="A448" s="7"/>
      <c r="B448" s="93"/>
      <c r="C448" s="93"/>
      <c r="D448" s="93"/>
      <c r="E448" s="93"/>
      <c r="F448" s="93"/>
      <c r="G448" s="94"/>
      <c r="H448" s="9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x14ac:dyDescent="0.35">
      <c r="A449" s="7"/>
      <c r="B449" s="93"/>
      <c r="C449" s="93"/>
      <c r="D449" s="93"/>
      <c r="E449" s="93"/>
      <c r="F449" s="93"/>
      <c r="G449" s="94"/>
      <c r="H449" s="9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x14ac:dyDescent="0.35">
      <c r="A450" s="7"/>
      <c r="B450" s="93"/>
      <c r="C450" s="93"/>
      <c r="D450" s="93"/>
      <c r="E450" s="93"/>
      <c r="F450" s="93"/>
      <c r="G450" s="94"/>
      <c r="H450" s="9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x14ac:dyDescent="0.35">
      <c r="A451" s="7"/>
      <c r="B451" s="93"/>
      <c r="C451" s="93"/>
      <c r="D451" s="93"/>
      <c r="E451" s="93"/>
      <c r="F451" s="93"/>
      <c r="G451" s="94"/>
      <c r="H451" s="9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x14ac:dyDescent="0.35">
      <c r="A452" s="7"/>
      <c r="B452" s="93"/>
      <c r="C452" s="93"/>
      <c r="D452" s="93"/>
      <c r="E452" s="93"/>
      <c r="F452" s="93"/>
      <c r="G452" s="94"/>
      <c r="H452" s="9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x14ac:dyDescent="0.35">
      <c r="A453" s="7"/>
      <c r="B453" s="93"/>
      <c r="C453" s="93"/>
      <c r="D453" s="93"/>
      <c r="E453" s="93"/>
      <c r="F453" s="93"/>
      <c r="G453" s="94"/>
      <c r="H453" s="9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x14ac:dyDescent="0.35">
      <c r="A454" s="7"/>
      <c r="B454" s="93"/>
      <c r="C454" s="93"/>
      <c r="D454" s="93"/>
      <c r="E454" s="93"/>
      <c r="F454" s="93"/>
      <c r="G454" s="94"/>
      <c r="H454" s="9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x14ac:dyDescent="0.35">
      <c r="A455" s="7"/>
      <c r="B455" s="93"/>
      <c r="C455" s="93"/>
      <c r="D455" s="93"/>
      <c r="E455" s="93"/>
      <c r="F455" s="93"/>
      <c r="G455" s="94"/>
      <c r="H455" s="9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x14ac:dyDescent="0.35">
      <c r="A456" s="7"/>
      <c r="B456" s="93"/>
      <c r="C456" s="93"/>
      <c r="D456" s="93"/>
      <c r="E456" s="93"/>
      <c r="F456" s="93"/>
      <c r="G456" s="94"/>
      <c r="H456" s="9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x14ac:dyDescent="0.35">
      <c r="A457" s="7"/>
      <c r="B457" s="93"/>
      <c r="C457" s="93"/>
      <c r="D457" s="93"/>
      <c r="E457" s="93"/>
      <c r="F457" s="93"/>
      <c r="G457" s="94"/>
      <c r="H457" s="9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x14ac:dyDescent="0.35">
      <c r="A458" s="7"/>
      <c r="B458" s="93"/>
      <c r="C458" s="93"/>
      <c r="D458" s="93"/>
      <c r="E458" s="93"/>
      <c r="F458" s="93"/>
      <c r="G458" s="94"/>
      <c r="H458" s="9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x14ac:dyDescent="0.35">
      <c r="A459" s="7"/>
      <c r="B459" s="93"/>
      <c r="C459" s="93"/>
      <c r="D459" s="93"/>
      <c r="E459" s="93"/>
      <c r="F459" s="93"/>
      <c r="G459" s="94"/>
      <c r="H459" s="9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x14ac:dyDescent="0.35">
      <c r="A460" s="7"/>
      <c r="B460" s="93"/>
      <c r="C460" s="93"/>
      <c r="D460" s="93"/>
      <c r="E460" s="93"/>
      <c r="F460" s="93"/>
      <c r="G460" s="94"/>
      <c r="H460" s="9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x14ac:dyDescent="0.35">
      <c r="A461" s="7"/>
      <c r="B461" s="93"/>
      <c r="C461" s="93"/>
      <c r="D461" s="93"/>
      <c r="E461" s="93"/>
      <c r="F461" s="93"/>
      <c r="G461" s="94"/>
      <c r="H461" s="9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x14ac:dyDescent="0.35">
      <c r="A462" s="7"/>
      <c r="B462" s="93"/>
      <c r="C462" s="93"/>
      <c r="D462" s="93"/>
      <c r="E462" s="93"/>
      <c r="F462" s="93"/>
      <c r="G462" s="94"/>
      <c r="H462" s="9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x14ac:dyDescent="0.35">
      <c r="A463" s="7"/>
      <c r="B463" s="93"/>
      <c r="C463" s="93"/>
      <c r="D463" s="93"/>
      <c r="E463" s="93"/>
      <c r="F463" s="93"/>
      <c r="G463" s="94"/>
      <c r="H463" s="9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x14ac:dyDescent="0.35">
      <c r="A464" s="7"/>
      <c r="B464" s="93"/>
      <c r="C464" s="93"/>
      <c r="D464" s="93"/>
      <c r="E464" s="93"/>
      <c r="F464" s="93"/>
      <c r="G464" s="94"/>
      <c r="H464" s="9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x14ac:dyDescent="0.35">
      <c r="A465" s="7"/>
      <c r="B465" s="93"/>
      <c r="C465" s="93"/>
      <c r="D465" s="93"/>
      <c r="E465" s="93"/>
      <c r="F465" s="93"/>
      <c r="G465" s="94"/>
      <c r="H465" s="9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x14ac:dyDescent="0.35">
      <c r="A466" s="7"/>
      <c r="B466" s="93"/>
      <c r="C466" s="93"/>
      <c r="D466" s="93"/>
      <c r="E466" s="93"/>
      <c r="F466" s="93"/>
      <c r="G466" s="94"/>
      <c r="H466" s="9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x14ac:dyDescent="0.35">
      <c r="A467" s="7"/>
      <c r="B467" s="93"/>
      <c r="C467" s="93"/>
      <c r="D467" s="93"/>
      <c r="E467" s="93"/>
      <c r="F467" s="93"/>
      <c r="G467" s="94"/>
      <c r="H467" s="9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x14ac:dyDescent="0.35">
      <c r="A468" s="7"/>
      <c r="B468" s="93"/>
      <c r="C468" s="93"/>
      <c r="D468" s="93"/>
      <c r="E468" s="93"/>
      <c r="F468" s="93"/>
      <c r="G468" s="94"/>
      <c r="H468" s="9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x14ac:dyDescent="0.35">
      <c r="A469" s="7"/>
      <c r="B469" s="93"/>
      <c r="C469" s="93"/>
      <c r="D469" s="93"/>
      <c r="E469" s="93"/>
      <c r="F469" s="93"/>
      <c r="G469" s="94"/>
      <c r="H469" s="9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x14ac:dyDescent="0.35">
      <c r="A470" s="7"/>
      <c r="B470" s="93"/>
      <c r="C470" s="93"/>
      <c r="D470" s="93"/>
      <c r="E470" s="93"/>
      <c r="F470" s="93"/>
      <c r="G470" s="94"/>
      <c r="H470" s="9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x14ac:dyDescent="0.35">
      <c r="A471" s="7"/>
      <c r="B471" s="93"/>
      <c r="C471" s="93"/>
      <c r="D471" s="93"/>
      <c r="E471" s="93"/>
      <c r="F471" s="93"/>
      <c r="G471" s="94"/>
      <c r="H471" s="9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x14ac:dyDescent="0.35">
      <c r="A472" s="7"/>
      <c r="B472" s="93"/>
      <c r="C472" s="93"/>
      <c r="D472" s="93"/>
      <c r="E472" s="93"/>
      <c r="F472" s="93"/>
      <c r="G472" s="94"/>
      <c r="H472" s="9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x14ac:dyDescent="0.35">
      <c r="A473" s="7"/>
      <c r="B473" s="93"/>
      <c r="C473" s="93"/>
      <c r="D473" s="93"/>
      <c r="E473" s="93"/>
      <c r="F473" s="93"/>
      <c r="G473" s="94"/>
      <c r="H473" s="9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x14ac:dyDescent="0.35">
      <c r="A474" s="7"/>
      <c r="B474" s="93"/>
      <c r="C474" s="93"/>
      <c r="D474" s="93"/>
      <c r="E474" s="93"/>
      <c r="F474" s="93"/>
      <c r="G474" s="94"/>
      <c r="H474" s="9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x14ac:dyDescent="0.35">
      <c r="A475" s="7"/>
      <c r="B475" s="93"/>
      <c r="C475" s="93"/>
      <c r="D475" s="93"/>
      <c r="E475" s="93"/>
      <c r="F475" s="93"/>
      <c r="G475" s="94"/>
      <c r="H475" s="9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x14ac:dyDescent="0.35">
      <c r="A476" s="7"/>
      <c r="B476" s="93"/>
      <c r="C476" s="93"/>
      <c r="D476" s="93"/>
      <c r="E476" s="93"/>
      <c r="F476" s="93"/>
      <c r="G476" s="94"/>
      <c r="H476" s="9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x14ac:dyDescent="0.35">
      <c r="A477" s="7"/>
      <c r="B477" s="93"/>
      <c r="C477" s="93"/>
      <c r="D477" s="93"/>
      <c r="E477" s="93"/>
      <c r="F477" s="93"/>
      <c r="G477" s="94"/>
      <c r="H477" s="9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x14ac:dyDescent="0.35">
      <c r="A478" s="7"/>
      <c r="B478" s="93"/>
      <c r="C478" s="93"/>
      <c r="D478" s="93"/>
      <c r="E478" s="93"/>
      <c r="F478" s="93"/>
      <c r="G478" s="94"/>
      <c r="H478" s="9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x14ac:dyDescent="0.35">
      <c r="A479" s="7"/>
      <c r="B479" s="93"/>
      <c r="C479" s="93"/>
      <c r="D479" s="93"/>
      <c r="E479" s="93"/>
      <c r="F479" s="93"/>
      <c r="G479" s="94"/>
      <c r="H479" s="9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x14ac:dyDescent="0.35">
      <c r="A480" s="7"/>
      <c r="B480" s="93"/>
      <c r="C480" s="93"/>
      <c r="D480" s="93"/>
      <c r="E480" s="93"/>
      <c r="F480" s="93"/>
      <c r="G480" s="94"/>
      <c r="H480" s="9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x14ac:dyDescent="0.35">
      <c r="A481" s="7"/>
      <c r="B481" s="93"/>
      <c r="C481" s="93"/>
      <c r="D481" s="93"/>
      <c r="E481" s="93"/>
      <c r="F481" s="93"/>
      <c r="G481" s="94"/>
      <c r="H481" s="9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x14ac:dyDescent="0.35">
      <c r="A482" s="7"/>
      <c r="B482" s="93"/>
      <c r="C482" s="93"/>
      <c r="D482" s="93"/>
      <c r="E482" s="93"/>
      <c r="F482" s="93"/>
      <c r="G482" s="94"/>
      <c r="H482" s="9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x14ac:dyDescent="0.35">
      <c r="A483" s="7"/>
      <c r="B483" s="93"/>
      <c r="C483" s="93"/>
      <c r="D483" s="93"/>
      <c r="E483" s="93"/>
      <c r="F483" s="93"/>
      <c r="G483" s="94"/>
      <c r="H483" s="9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x14ac:dyDescent="0.35">
      <c r="A484" s="7"/>
      <c r="B484" s="93"/>
      <c r="C484" s="93"/>
      <c r="D484" s="93"/>
      <c r="E484" s="93"/>
      <c r="F484" s="93"/>
      <c r="G484" s="94"/>
      <c r="H484" s="9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x14ac:dyDescent="0.35">
      <c r="A485" s="7"/>
      <c r="B485" s="93"/>
      <c r="C485" s="93"/>
      <c r="D485" s="93"/>
      <c r="E485" s="93"/>
      <c r="F485" s="93"/>
      <c r="G485" s="94"/>
      <c r="H485" s="9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x14ac:dyDescent="0.35">
      <c r="A486" s="7"/>
      <c r="B486" s="93"/>
      <c r="C486" s="93"/>
      <c r="D486" s="93"/>
      <c r="E486" s="93"/>
      <c r="F486" s="93"/>
      <c r="G486" s="94"/>
      <c r="H486" s="9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x14ac:dyDescent="0.35">
      <c r="A487" s="7"/>
      <c r="B487" s="93"/>
      <c r="C487" s="93"/>
      <c r="D487" s="93"/>
      <c r="E487" s="93"/>
      <c r="F487" s="93"/>
      <c r="G487" s="94"/>
      <c r="H487" s="9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x14ac:dyDescent="0.35">
      <c r="A488" s="7"/>
      <c r="B488" s="93"/>
      <c r="C488" s="93"/>
      <c r="D488" s="93"/>
      <c r="E488" s="93"/>
      <c r="F488" s="93"/>
      <c r="G488" s="94"/>
      <c r="H488" s="9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x14ac:dyDescent="0.35">
      <c r="A489" s="7"/>
      <c r="B489" s="93"/>
      <c r="C489" s="93"/>
      <c r="D489" s="93"/>
      <c r="E489" s="93"/>
      <c r="F489" s="93"/>
      <c r="G489" s="94"/>
      <c r="H489" s="9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x14ac:dyDescent="0.35">
      <c r="A490" s="7"/>
      <c r="B490" s="93"/>
      <c r="C490" s="93"/>
      <c r="D490" s="93"/>
      <c r="E490" s="93"/>
      <c r="F490" s="93"/>
      <c r="G490" s="94"/>
      <c r="H490" s="9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x14ac:dyDescent="0.35">
      <c r="A491" s="7"/>
      <c r="B491" s="93"/>
      <c r="C491" s="93"/>
      <c r="D491" s="93"/>
      <c r="E491" s="93"/>
      <c r="F491" s="93"/>
      <c r="G491" s="94"/>
      <c r="H491" s="9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x14ac:dyDescent="0.35">
      <c r="A492" s="7"/>
      <c r="B492" s="93"/>
      <c r="C492" s="93"/>
      <c r="D492" s="93"/>
      <c r="E492" s="93"/>
      <c r="F492" s="93"/>
      <c r="G492" s="94"/>
      <c r="H492" s="9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x14ac:dyDescent="0.35">
      <c r="A493" s="7"/>
      <c r="B493" s="93"/>
      <c r="C493" s="93"/>
      <c r="D493" s="93"/>
      <c r="E493" s="93"/>
      <c r="F493" s="93"/>
      <c r="G493" s="94"/>
      <c r="H493" s="9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x14ac:dyDescent="0.35">
      <c r="A494" s="7"/>
      <c r="B494" s="93"/>
      <c r="C494" s="93"/>
      <c r="D494" s="93"/>
      <c r="E494" s="93"/>
      <c r="F494" s="93"/>
      <c r="G494" s="94"/>
      <c r="H494" s="9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x14ac:dyDescent="0.35">
      <c r="A495" s="7"/>
      <c r="B495" s="93"/>
      <c r="C495" s="93"/>
      <c r="D495" s="93"/>
      <c r="E495" s="93"/>
      <c r="F495" s="93"/>
      <c r="G495" s="94"/>
      <c r="H495" s="9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x14ac:dyDescent="0.35">
      <c r="A496" s="7"/>
      <c r="B496" s="93"/>
      <c r="C496" s="93"/>
      <c r="D496" s="93"/>
      <c r="E496" s="93"/>
      <c r="F496" s="93"/>
      <c r="G496" s="94"/>
      <c r="H496" s="9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x14ac:dyDescent="0.35">
      <c r="A497" s="7"/>
      <c r="B497" s="93"/>
      <c r="C497" s="93"/>
      <c r="D497" s="93"/>
      <c r="E497" s="93"/>
      <c r="F497" s="93"/>
      <c r="G497" s="94"/>
      <c r="H497" s="9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x14ac:dyDescent="0.35">
      <c r="A498" s="7"/>
      <c r="B498" s="93"/>
      <c r="C498" s="93"/>
      <c r="D498" s="93"/>
      <c r="E498" s="93"/>
      <c r="F498" s="93"/>
      <c r="G498" s="94"/>
      <c r="H498" s="9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x14ac:dyDescent="0.35">
      <c r="A499" s="7"/>
      <c r="B499" s="93"/>
      <c r="C499" s="93"/>
      <c r="D499" s="93"/>
      <c r="E499" s="93"/>
      <c r="F499" s="93"/>
      <c r="G499" s="94"/>
      <c r="H499" s="9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x14ac:dyDescent="0.35">
      <c r="A500" s="7"/>
      <c r="B500" s="93"/>
      <c r="C500" s="93"/>
      <c r="D500" s="93"/>
      <c r="E500" s="93"/>
      <c r="F500" s="93"/>
      <c r="G500" s="94"/>
      <c r="H500" s="9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x14ac:dyDescent="0.35">
      <c r="A501" s="7"/>
      <c r="B501" s="93"/>
      <c r="C501" s="93"/>
      <c r="D501" s="93"/>
      <c r="E501" s="93"/>
      <c r="F501" s="93"/>
      <c r="G501" s="94"/>
      <c r="H501" s="9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x14ac:dyDescent="0.35">
      <c r="A502" s="7"/>
      <c r="B502" s="93"/>
      <c r="C502" s="93"/>
      <c r="D502" s="93"/>
      <c r="E502" s="93"/>
      <c r="F502" s="93"/>
      <c r="G502" s="94"/>
      <c r="H502" s="9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x14ac:dyDescent="0.35">
      <c r="A503" s="7"/>
      <c r="B503" s="93"/>
      <c r="C503" s="93"/>
      <c r="D503" s="93"/>
      <c r="E503" s="93"/>
      <c r="F503" s="93"/>
      <c r="G503" s="94"/>
      <c r="H503" s="9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x14ac:dyDescent="0.35">
      <c r="A504" s="7"/>
      <c r="B504" s="93"/>
      <c r="C504" s="93"/>
      <c r="D504" s="93"/>
      <c r="E504" s="93"/>
      <c r="F504" s="93"/>
      <c r="G504" s="94"/>
      <c r="H504" s="9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x14ac:dyDescent="0.35">
      <c r="A505" s="7"/>
      <c r="B505" s="93"/>
      <c r="C505" s="93"/>
      <c r="D505" s="93"/>
      <c r="E505" s="93"/>
      <c r="F505" s="93"/>
      <c r="G505" s="94"/>
      <c r="H505" s="9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x14ac:dyDescent="0.35">
      <c r="A506" s="7"/>
      <c r="B506" s="93"/>
      <c r="C506" s="93"/>
      <c r="D506" s="93"/>
      <c r="E506" s="93"/>
      <c r="F506" s="93"/>
      <c r="G506" s="94"/>
      <c r="H506" s="9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x14ac:dyDescent="0.35">
      <c r="A507" s="7"/>
      <c r="B507" s="93"/>
      <c r="C507" s="93"/>
      <c r="D507" s="93"/>
      <c r="E507" s="93"/>
      <c r="F507" s="93"/>
      <c r="G507" s="94"/>
      <c r="H507" s="9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x14ac:dyDescent="0.35">
      <c r="A508" s="7"/>
      <c r="B508" s="93"/>
      <c r="C508" s="93"/>
      <c r="D508" s="93"/>
      <c r="E508" s="93"/>
      <c r="F508" s="93"/>
      <c r="G508" s="94"/>
      <c r="H508" s="9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x14ac:dyDescent="0.35">
      <c r="A509" s="7"/>
      <c r="B509" s="93"/>
      <c r="C509" s="93"/>
      <c r="D509" s="93"/>
      <c r="E509" s="93"/>
      <c r="F509" s="93"/>
      <c r="G509" s="94"/>
      <c r="H509" s="9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x14ac:dyDescent="0.35">
      <c r="A510" s="7"/>
      <c r="B510" s="93"/>
      <c r="C510" s="93"/>
      <c r="D510" s="93"/>
      <c r="E510" s="93"/>
      <c r="F510" s="93"/>
      <c r="G510" s="94"/>
      <c r="H510" s="9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x14ac:dyDescent="0.35">
      <c r="A511" s="7"/>
      <c r="B511" s="93"/>
      <c r="C511" s="93"/>
      <c r="D511" s="93"/>
      <c r="E511" s="93"/>
      <c r="F511" s="93"/>
      <c r="G511" s="94"/>
      <c r="H511" s="9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x14ac:dyDescent="0.35">
      <c r="A512" s="7"/>
      <c r="B512" s="93"/>
      <c r="C512" s="93"/>
      <c r="D512" s="93"/>
      <c r="E512" s="93"/>
      <c r="F512" s="93"/>
      <c r="G512" s="94"/>
      <c r="H512" s="9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x14ac:dyDescent="0.35">
      <c r="A513" s="7"/>
      <c r="B513" s="93"/>
      <c r="C513" s="93"/>
      <c r="D513" s="93"/>
      <c r="E513" s="93"/>
      <c r="F513" s="93"/>
      <c r="G513" s="94"/>
      <c r="H513" s="9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x14ac:dyDescent="0.35">
      <c r="A514" s="7"/>
      <c r="B514" s="93"/>
      <c r="C514" s="93"/>
      <c r="D514" s="93"/>
      <c r="E514" s="93"/>
      <c r="F514" s="93"/>
      <c r="G514" s="94"/>
      <c r="H514" s="9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x14ac:dyDescent="0.35">
      <c r="A515" s="7"/>
      <c r="B515" s="93"/>
      <c r="C515" s="93"/>
      <c r="D515" s="93"/>
      <c r="E515" s="93"/>
      <c r="F515" s="93"/>
      <c r="G515" s="94"/>
      <c r="H515" s="9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x14ac:dyDescent="0.35">
      <c r="A516" s="7"/>
      <c r="B516" s="93"/>
      <c r="C516" s="93"/>
      <c r="D516" s="93"/>
      <c r="E516" s="93"/>
      <c r="F516" s="93"/>
      <c r="G516" s="94"/>
      <c r="H516" s="9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x14ac:dyDescent="0.35">
      <c r="A517" s="7"/>
      <c r="B517" s="93"/>
      <c r="C517" s="93"/>
      <c r="D517" s="93"/>
      <c r="E517" s="93"/>
      <c r="F517" s="93"/>
      <c r="G517" s="94"/>
      <c r="H517" s="9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x14ac:dyDescent="0.35">
      <c r="A518" s="7"/>
      <c r="B518" s="93"/>
      <c r="C518" s="93"/>
      <c r="D518" s="93"/>
      <c r="E518" s="93"/>
      <c r="F518" s="93"/>
      <c r="G518" s="94"/>
      <c r="H518" s="9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x14ac:dyDescent="0.35">
      <c r="A519" s="7"/>
      <c r="B519" s="93"/>
      <c r="C519" s="93"/>
      <c r="D519" s="93"/>
      <c r="E519" s="93"/>
      <c r="F519" s="93"/>
      <c r="G519" s="94"/>
      <c r="H519" s="9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x14ac:dyDescent="0.35">
      <c r="A520" s="7"/>
      <c r="B520" s="93"/>
      <c r="C520" s="93"/>
      <c r="D520" s="93"/>
      <c r="E520" s="93"/>
      <c r="F520" s="93"/>
      <c r="G520" s="94"/>
      <c r="H520" s="9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x14ac:dyDescent="0.35">
      <c r="A521" s="7"/>
      <c r="B521" s="93"/>
      <c r="C521" s="93"/>
      <c r="D521" s="93"/>
      <c r="E521" s="93"/>
      <c r="F521" s="93"/>
      <c r="G521" s="94"/>
      <c r="H521" s="9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x14ac:dyDescent="0.35">
      <c r="A522" s="7"/>
      <c r="B522" s="93"/>
      <c r="C522" s="93"/>
      <c r="D522" s="93"/>
      <c r="E522" s="93"/>
      <c r="F522" s="93"/>
      <c r="G522" s="94"/>
      <c r="H522" s="9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x14ac:dyDescent="0.35">
      <c r="A523" s="7"/>
      <c r="B523" s="93"/>
      <c r="C523" s="93"/>
      <c r="D523" s="93"/>
      <c r="E523" s="93"/>
      <c r="F523" s="93"/>
      <c r="G523" s="94"/>
      <c r="H523" s="9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x14ac:dyDescent="0.35">
      <c r="A524" s="7"/>
      <c r="B524" s="93"/>
      <c r="C524" s="93"/>
      <c r="D524" s="93"/>
      <c r="E524" s="93"/>
      <c r="F524" s="93"/>
      <c r="G524" s="94"/>
      <c r="H524" s="9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x14ac:dyDescent="0.35">
      <c r="A525" s="7"/>
      <c r="B525" s="93"/>
      <c r="C525" s="93"/>
      <c r="D525" s="93"/>
      <c r="E525" s="93"/>
      <c r="F525" s="93"/>
      <c r="G525" s="94"/>
      <c r="H525" s="9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x14ac:dyDescent="0.35">
      <c r="A526" s="7"/>
      <c r="B526" s="93"/>
      <c r="C526" s="93"/>
      <c r="D526" s="93"/>
      <c r="E526" s="93"/>
      <c r="F526" s="93"/>
      <c r="G526" s="94"/>
      <c r="H526" s="9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x14ac:dyDescent="0.35">
      <c r="A527" s="7"/>
      <c r="B527" s="93"/>
      <c r="C527" s="93"/>
      <c r="D527" s="93"/>
      <c r="E527" s="93"/>
      <c r="F527" s="93"/>
      <c r="G527" s="94"/>
      <c r="H527" s="9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x14ac:dyDescent="0.35">
      <c r="A528" s="7"/>
      <c r="B528" s="93"/>
      <c r="C528" s="93"/>
      <c r="D528" s="93"/>
      <c r="E528" s="93"/>
      <c r="F528" s="93"/>
      <c r="G528" s="94"/>
      <c r="H528" s="9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x14ac:dyDescent="0.35">
      <c r="A529" s="7"/>
      <c r="B529" s="93"/>
      <c r="C529" s="93"/>
      <c r="D529" s="93"/>
      <c r="E529" s="93"/>
      <c r="F529" s="93"/>
      <c r="G529" s="94"/>
      <c r="H529" s="9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x14ac:dyDescent="0.35">
      <c r="A530" s="7"/>
      <c r="B530" s="93"/>
      <c r="C530" s="93"/>
      <c r="D530" s="93"/>
      <c r="E530" s="93"/>
      <c r="F530" s="93"/>
      <c r="G530" s="94"/>
      <c r="H530" s="9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x14ac:dyDescent="0.35">
      <c r="A531" s="7"/>
      <c r="B531" s="93"/>
      <c r="C531" s="93"/>
      <c r="D531" s="93"/>
      <c r="E531" s="93"/>
      <c r="F531" s="93"/>
      <c r="G531" s="94"/>
      <c r="H531" s="9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x14ac:dyDescent="0.35">
      <c r="A532" s="7"/>
      <c r="B532" s="93"/>
      <c r="C532" s="93"/>
      <c r="D532" s="93"/>
      <c r="E532" s="93"/>
      <c r="F532" s="93"/>
      <c r="G532" s="94"/>
      <c r="H532" s="9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x14ac:dyDescent="0.35">
      <c r="A533" s="7"/>
      <c r="B533" s="93"/>
      <c r="C533" s="93"/>
      <c r="D533" s="93"/>
      <c r="E533" s="93"/>
      <c r="F533" s="93"/>
      <c r="G533" s="94"/>
      <c r="H533" s="9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x14ac:dyDescent="0.35">
      <c r="A534" s="7"/>
      <c r="B534" s="93"/>
      <c r="C534" s="93"/>
      <c r="D534" s="93"/>
      <c r="E534" s="93"/>
      <c r="F534" s="93"/>
      <c r="G534" s="94"/>
      <c r="H534" s="9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x14ac:dyDescent="0.35">
      <c r="A535" s="7"/>
      <c r="B535" s="93"/>
      <c r="C535" s="93"/>
      <c r="D535" s="93"/>
      <c r="E535" s="93"/>
      <c r="F535" s="93"/>
      <c r="G535" s="94"/>
      <c r="H535" s="9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x14ac:dyDescent="0.35">
      <c r="A536" s="7"/>
      <c r="B536" s="93"/>
      <c r="C536" s="93"/>
      <c r="D536" s="93"/>
      <c r="E536" s="93"/>
      <c r="F536" s="93"/>
      <c r="G536" s="94"/>
      <c r="H536" s="9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x14ac:dyDescent="0.35">
      <c r="A537" s="7"/>
      <c r="B537" s="93"/>
      <c r="C537" s="93"/>
      <c r="D537" s="93"/>
      <c r="E537" s="93"/>
      <c r="F537" s="93"/>
      <c r="G537" s="94"/>
      <c r="H537" s="9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x14ac:dyDescent="0.35">
      <c r="A538" s="7"/>
      <c r="B538" s="93"/>
      <c r="C538" s="93"/>
      <c r="D538" s="93"/>
      <c r="E538" s="93"/>
      <c r="F538" s="93"/>
      <c r="G538" s="94"/>
      <c r="H538" s="9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x14ac:dyDescent="0.35">
      <c r="A539" s="7"/>
      <c r="B539" s="93"/>
      <c r="C539" s="93"/>
      <c r="D539" s="93"/>
      <c r="E539" s="93"/>
      <c r="F539" s="93"/>
      <c r="G539" s="94"/>
      <c r="H539" s="9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x14ac:dyDescent="0.35">
      <c r="A540" s="7"/>
      <c r="B540" s="93"/>
      <c r="C540" s="93"/>
      <c r="D540" s="93"/>
      <c r="E540" s="93"/>
      <c r="F540" s="93"/>
      <c r="G540" s="94"/>
      <c r="H540" s="9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x14ac:dyDescent="0.35">
      <c r="A541" s="7"/>
      <c r="B541" s="93"/>
      <c r="C541" s="93"/>
      <c r="D541" s="93"/>
      <c r="E541" s="93"/>
      <c r="F541" s="93"/>
      <c r="G541" s="94"/>
      <c r="H541" s="9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x14ac:dyDescent="0.35">
      <c r="A542" s="7"/>
      <c r="B542" s="93"/>
      <c r="C542" s="93"/>
      <c r="D542" s="93"/>
      <c r="E542" s="93"/>
      <c r="F542" s="93"/>
      <c r="G542" s="94"/>
      <c r="H542" s="9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x14ac:dyDescent="0.35">
      <c r="A543" s="7"/>
      <c r="B543" s="93"/>
      <c r="C543" s="93"/>
      <c r="D543" s="93"/>
      <c r="E543" s="93"/>
      <c r="F543" s="93"/>
      <c r="G543" s="94"/>
      <c r="H543" s="9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x14ac:dyDescent="0.35">
      <c r="A544" s="7"/>
      <c r="B544" s="93"/>
      <c r="C544" s="93"/>
      <c r="D544" s="93"/>
      <c r="E544" s="93"/>
      <c r="F544" s="93"/>
      <c r="G544" s="94"/>
      <c r="H544" s="9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x14ac:dyDescent="0.35">
      <c r="A545" s="7"/>
      <c r="B545" s="93"/>
      <c r="C545" s="93"/>
      <c r="D545" s="93"/>
      <c r="E545" s="93"/>
      <c r="F545" s="93"/>
      <c r="G545" s="94"/>
      <c r="H545" s="9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x14ac:dyDescent="0.35">
      <c r="A546" s="7"/>
      <c r="B546" s="93"/>
      <c r="C546" s="93"/>
      <c r="D546" s="93"/>
      <c r="E546" s="93"/>
      <c r="F546" s="93"/>
      <c r="G546" s="94"/>
      <c r="H546" s="9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x14ac:dyDescent="0.35">
      <c r="A547" s="7"/>
      <c r="B547" s="93"/>
      <c r="C547" s="93"/>
      <c r="D547" s="93"/>
      <c r="E547" s="93"/>
      <c r="F547" s="93"/>
      <c r="G547" s="94"/>
      <c r="H547" s="9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x14ac:dyDescent="0.35">
      <c r="A548" s="7"/>
      <c r="B548" s="93"/>
      <c r="C548" s="93"/>
      <c r="D548" s="93"/>
      <c r="E548" s="93"/>
      <c r="F548" s="93"/>
      <c r="G548" s="94"/>
      <c r="H548" s="9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x14ac:dyDescent="0.35">
      <c r="A549" s="7"/>
      <c r="B549" s="93"/>
      <c r="C549" s="93"/>
      <c r="D549" s="93"/>
      <c r="E549" s="93"/>
      <c r="F549" s="93"/>
      <c r="G549" s="94"/>
      <c r="H549" s="9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x14ac:dyDescent="0.35">
      <c r="A550" s="7"/>
      <c r="B550" s="93"/>
      <c r="C550" s="93"/>
      <c r="D550" s="93"/>
      <c r="E550" s="93"/>
      <c r="F550" s="93"/>
      <c r="G550" s="94"/>
      <c r="H550" s="9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x14ac:dyDescent="0.35">
      <c r="A551" s="7"/>
      <c r="B551" s="93"/>
      <c r="C551" s="93"/>
      <c r="D551" s="93"/>
      <c r="E551" s="93"/>
      <c r="F551" s="93"/>
      <c r="G551" s="94"/>
      <c r="H551" s="9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x14ac:dyDescent="0.35">
      <c r="A552" s="7"/>
      <c r="B552" s="93"/>
      <c r="C552" s="93"/>
      <c r="D552" s="93"/>
      <c r="E552" s="93"/>
      <c r="F552" s="93"/>
      <c r="G552" s="94"/>
      <c r="H552" s="9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x14ac:dyDescent="0.35">
      <c r="A553" s="7"/>
      <c r="B553" s="93"/>
      <c r="C553" s="93"/>
      <c r="D553" s="93"/>
      <c r="E553" s="93"/>
      <c r="F553" s="93"/>
      <c r="G553" s="94"/>
      <c r="H553" s="9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x14ac:dyDescent="0.35">
      <c r="A554" s="7"/>
      <c r="B554" s="93"/>
      <c r="C554" s="93"/>
      <c r="D554" s="93"/>
      <c r="E554" s="93"/>
      <c r="F554" s="93"/>
      <c r="G554" s="94"/>
      <c r="H554" s="9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x14ac:dyDescent="0.35">
      <c r="A555" s="7"/>
      <c r="B555" s="93"/>
      <c r="C555" s="93"/>
      <c r="D555" s="93"/>
      <c r="E555" s="93"/>
      <c r="F555" s="93"/>
      <c r="G555" s="94"/>
      <c r="H555" s="9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x14ac:dyDescent="0.35">
      <c r="A556" s="7"/>
      <c r="B556" s="93"/>
      <c r="C556" s="93"/>
      <c r="D556" s="93"/>
      <c r="E556" s="93"/>
      <c r="F556" s="93"/>
      <c r="G556" s="94"/>
      <c r="H556" s="9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x14ac:dyDescent="0.35">
      <c r="A557" s="7"/>
      <c r="B557" s="93"/>
      <c r="C557" s="93"/>
      <c r="D557" s="93"/>
      <c r="E557" s="93"/>
      <c r="F557" s="93"/>
      <c r="G557" s="94"/>
      <c r="H557" s="9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x14ac:dyDescent="0.35">
      <c r="A558" s="7"/>
      <c r="B558" s="93"/>
      <c r="C558" s="93"/>
      <c r="D558" s="93"/>
      <c r="E558" s="93"/>
      <c r="F558" s="93"/>
      <c r="G558" s="94"/>
      <c r="H558" s="9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x14ac:dyDescent="0.35">
      <c r="A559" s="7"/>
      <c r="B559" s="93"/>
      <c r="C559" s="93"/>
      <c r="D559" s="93"/>
      <c r="E559" s="93"/>
      <c r="F559" s="93"/>
      <c r="G559" s="94"/>
      <c r="H559" s="9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x14ac:dyDescent="0.35">
      <c r="A560" s="7"/>
      <c r="B560" s="93"/>
      <c r="C560" s="93"/>
      <c r="D560" s="93"/>
      <c r="E560" s="93"/>
      <c r="F560" s="93"/>
      <c r="G560" s="94"/>
      <c r="H560" s="9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x14ac:dyDescent="0.35">
      <c r="A561" s="7"/>
      <c r="B561" s="93"/>
      <c r="C561" s="93"/>
      <c r="D561" s="93"/>
      <c r="E561" s="93"/>
      <c r="F561" s="93"/>
      <c r="G561" s="94"/>
      <c r="H561" s="9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x14ac:dyDescent="0.35">
      <c r="A562" s="7"/>
      <c r="B562" s="93"/>
      <c r="C562" s="93"/>
      <c r="D562" s="93"/>
      <c r="E562" s="93"/>
      <c r="F562" s="93"/>
      <c r="G562" s="94"/>
      <c r="H562" s="9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x14ac:dyDescent="0.35">
      <c r="A563" s="7"/>
      <c r="B563" s="93"/>
      <c r="C563" s="93"/>
      <c r="D563" s="93"/>
      <c r="E563" s="93"/>
      <c r="F563" s="93"/>
      <c r="G563" s="94"/>
      <c r="H563" s="9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x14ac:dyDescent="0.35">
      <c r="A564" s="7"/>
      <c r="B564" s="93"/>
      <c r="C564" s="93"/>
      <c r="D564" s="93"/>
      <c r="E564" s="93"/>
      <c r="F564" s="93"/>
      <c r="G564" s="94"/>
      <c r="H564" s="9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x14ac:dyDescent="0.35">
      <c r="A565" s="7"/>
      <c r="B565" s="93"/>
      <c r="C565" s="93"/>
      <c r="D565" s="93"/>
      <c r="E565" s="93"/>
      <c r="F565" s="93"/>
      <c r="G565" s="94"/>
      <c r="H565" s="9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x14ac:dyDescent="0.35">
      <c r="A566" s="7"/>
      <c r="B566" s="93"/>
      <c r="C566" s="93"/>
      <c r="D566" s="93"/>
      <c r="E566" s="93"/>
      <c r="F566" s="93"/>
      <c r="G566" s="94"/>
      <c r="H566" s="9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x14ac:dyDescent="0.35">
      <c r="A567" s="7"/>
      <c r="B567" s="93"/>
      <c r="C567" s="93"/>
      <c r="D567" s="93"/>
      <c r="E567" s="93"/>
      <c r="F567" s="93"/>
      <c r="G567" s="94"/>
      <c r="H567" s="9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x14ac:dyDescent="0.35">
      <c r="A568" s="7"/>
      <c r="B568" s="93"/>
      <c r="C568" s="93"/>
      <c r="D568" s="93"/>
      <c r="E568" s="93"/>
      <c r="F568" s="93"/>
      <c r="G568" s="94"/>
      <c r="H568" s="9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x14ac:dyDescent="0.35">
      <c r="A569" s="7"/>
      <c r="B569" s="93"/>
      <c r="C569" s="93"/>
      <c r="D569" s="93"/>
      <c r="E569" s="93"/>
      <c r="F569" s="93"/>
      <c r="G569" s="94"/>
      <c r="H569" s="9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x14ac:dyDescent="0.35">
      <c r="A570" s="7"/>
      <c r="B570" s="93"/>
      <c r="C570" s="93"/>
      <c r="D570" s="93"/>
      <c r="E570" s="93"/>
      <c r="F570" s="93"/>
      <c r="G570" s="94"/>
      <c r="H570" s="9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x14ac:dyDescent="0.35">
      <c r="A571" s="7"/>
      <c r="B571" s="93"/>
      <c r="C571" s="93"/>
      <c r="D571" s="93"/>
      <c r="E571" s="93"/>
      <c r="F571" s="93"/>
      <c r="G571" s="94"/>
      <c r="H571" s="9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x14ac:dyDescent="0.35">
      <c r="A572" s="7"/>
      <c r="B572" s="93"/>
      <c r="C572" s="93"/>
      <c r="D572" s="93"/>
      <c r="E572" s="93"/>
      <c r="F572" s="93"/>
      <c r="G572" s="94"/>
      <c r="H572" s="9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x14ac:dyDescent="0.35">
      <c r="A573" s="7"/>
      <c r="B573" s="93"/>
      <c r="C573" s="93"/>
      <c r="D573" s="93"/>
      <c r="E573" s="93"/>
      <c r="F573" s="93"/>
      <c r="G573" s="94"/>
      <c r="H573" s="9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x14ac:dyDescent="0.35">
      <c r="A574" s="7"/>
      <c r="B574" s="93"/>
      <c r="C574" s="93"/>
      <c r="D574" s="93"/>
      <c r="E574" s="93"/>
      <c r="F574" s="93"/>
      <c r="G574" s="94"/>
      <c r="H574" s="9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x14ac:dyDescent="0.35">
      <c r="A575" s="7"/>
      <c r="B575" s="93"/>
      <c r="C575" s="93"/>
      <c r="D575" s="93"/>
      <c r="E575" s="93"/>
      <c r="F575" s="93"/>
      <c r="G575" s="94"/>
      <c r="H575" s="9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x14ac:dyDescent="0.35">
      <c r="A576" s="7"/>
      <c r="B576" s="93"/>
      <c r="C576" s="93"/>
      <c r="D576" s="93"/>
      <c r="E576" s="93"/>
      <c r="F576" s="93"/>
      <c r="G576" s="94"/>
      <c r="H576" s="9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x14ac:dyDescent="0.35">
      <c r="A577" s="7"/>
      <c r="B577" s="93"/>
      <c r="C577" s="93"/>
      <c r="D577" s="93"/>
      <c r="E577" s="93"/>
      <c r="F577" s="93"/>
      <c r="G577" s="94"/>
      <c r="H577" s="9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x14ac:dyDescent="0.35">
      <c r="A578" s="7"/>
      <c r="B578" s="93"/>
      <c r="C578" s="93"/>
      <c r="D578" s="93"/>
      <c r="E578" s="93"/>
      <c r="F578" s="93"/>
      <c r="G578" s="94"/>
      <c r="H578" s="9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x14ac:dyDescent="0.35">
      <c r="A579" s="7"/>
      <c r="B579" s="93"/>
      <c r="C579" s="93"/>
      <c r="D579" s="93"/>
      <c r="E579" s="93"/>
      <c r="F579" s="93"/>
      <c r="G579" s="94"/>
      <c r="H579" s="9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x14ac:dyDescent="0.35">
      <c r="A580" s="7"/>
      <c r="B580" s="93"/>
      <c r="C580" s="93"/>
      <c r="D580" s="93"/>
      <c r="E580" s="93"/>
      <c r="F580" s="93"/>
      <c r="G580" s="94"/>
      <c r="H580" s="9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x14ac:dyDescent="0.35">
      <c r="A581" s="7"/>
      <c r="B581" s="93"/>
      <c r="C581" s="93"/>
      <c r="D581" s="93"/>
      <c r="E581" s="93"/>
      <c r="F581" s="93"/>
      <c r="G581" s="94"/>
      <c r="H581" s="9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x14ac:dyDescent="0.35">
      <c r="A582" s="7"/>
      <c r="B582" s="93"/>
      <c r="C582" s="93"/>
      <c r="D582" s="93"/>
      <c r="E582" s="93"/>
      <c r="F582" s="93"/>
      <c r="G582" s="94"/>
      <c r="H582" s="9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x14ac:dyDescent="0.35">
      <c r="A583" s="7"/>
      <c r="B583" s="93"/>
      <c r="C583" s="93"/>
      <c r="D583" s="93"/>
      <c r="E583" s="93"/>
      <c r="F583" s="93"/>
      <c r="G583" s="94"/>
      <c r="H583" s="9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x14ac:dyDescent="0.35">
      <c r="A584" s="7"/>
      <c r="B584" s="93"/>
      <c r="C584" s="93"/>
      <c r="D584" s="93"/>
      <c r="E584" s="93"/>
      <c r="F584" s="93"/>
      <c r="G584" s="94"/>
      <c r="H584" s="9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x14ac:dyDescent="0.35">
      <c r="A585" s="7"/>
      <c r="B585" s="93"/>
      <c r="C585" s="93"/>
      <c r="D585" s="93"/>
      <c r="E585" s="93"/>
      <c r="F585" s="93"/>
      <c r="G585" s="94"/>
      <c r="H585" s="9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x14ac:dyDescent="0.35">
      <c r="A586" s="7"/>
      <c r="B586" s="93"/>
      <c r="C586" s="93"/>
      <c r="D586" s="93"/>
      <c r="E586" s="93"/>
      <c r="F586" s="93"/>
      <c r="G586" s="94"/>
      <c r="H586" s="9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x14ac:dyDescent="0.35">
      <c r="A587" s="7"/>
      <c r="B587" s="93"/>
      <c r="C587" s="93"/>
      <c r="D587" s="93"/>
      <c r="E587" s="93"/>
      <c r="F587" s="93"/>
      <c r="G587" s="94"/>
      <c r="H587" s="9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x14ac:dyDescent="0.35">
      <c r="A588" s="7"/>
      <c r="B588" s="93"/>
      <c r="C588" s="93"/>
      <c r="D588" s="93"/>
      <c r="E588" s="93"/>
      <c r="F588" s="93"/>
      <c r="G588" s="94"/>
      <c r="H588" s="9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x14ac:dyDescent="0.35">
      <c r="A589" s="7"/>
      <c r="B589" s="93"/>
      <c r="C589" s="93"/>
      <c r="D589" s="93"/>
      <c r="E589" s="93"/>
      <c r="F589" s="93"/>
      <c r="G589" s="94"/>
      <c r="H589" s="9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x14ac:dyDescent="0.35">
      <c r="A590" s="7"/>
      <c r="B590" s="93"/>
      <c r="C590" s="93"/>
      <c r="D590" s="93"/>
      <c r="E590" s="93"/>
      <c r="F590" s="93"/>
      <c r="G590" s="94"/>
      <c r="H590" s="9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x14ac:dyDescent="0.35">
      <c r="A591" s="7"/>
      <c r="B591" s="93"/>
      <c r="C591" s="93"/>
      <c r="D591" s="93"/>
      <c r="E591" s="93"/>
      <c r="F591" s="93"/>
      <c r="G591" s="94"/>
      <c r="H591" s="9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x14ac:dyDescent="0.35">
      <c r="A592" s="7"/>
      <c r="B592" s="93"/>
      <c r="C592" s="93"/>
      <c r="D592" s="93"/>
      <c r="E592" s="93"/>
      <c r="F592" s="93"/>
      <c r="G592" s="94"/>
      <c r="H592" s="9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x14ac:dyDescent="0.35">
      <c r="A593" s="7"/>
      <c r="B593" s="93"/>
      <c r="C593" s="93"/>
      <c r="D593" s="93"/>
      <c r="E593" s="93"/>
      <c r="F593" s="93"/>
      <c r="G593" s="94"/>
      <c r="H593" s="9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x14ac:dyDescent="0.35">
      <c r="A594" s="7"/>
      <c r="B594" s="93"/>
      <c r="C594" s="93"/>
      <c r="D594" s="93"/>
      <c r="E594" s="93"/>
      <c r="F594" s="93"/>
      <c r="G594" s="94"/>
      <c r="H594" s="9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x14ac:dyDescent="0.35">
      <c r="A595" s="7"/>
      <c r="B595" s="93"/>
      <c r="C595" s="93"/>
      <c r="D595" s="93"/>
      <c r="E595" s="93"/>
      <c r="F595" s="93"/>
      <c r="G595" s="94"/>
      <c r="H595" s="9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x14ac:dyDescent="0.35">
      <c r="A596" s="7"/>
      <c r="B596" s="93"/>
      <c r="C596" s="93"/>
      <c r="D596" s="93"/>
      <c r="E596" s="93"/>
      <c r="F596" s="93"/>
      <c r="G596" s="94"/>
      <c r="H596" s="9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x14ac:dyDescent="0.35">
      <c r="A597" s="7"/>
      <c r="B597" s="93"/>
      <c r="C597" s="93"/>
      <c r="D597" s="93"/>
      <c r="E597" s="93"/>
      <c r="F597" s="93"/>
      <c r="G597" s="94"/>
      <c r="H597" s="9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x14ac:dyDescent="0.35">
      <c r="A598" s="7"/>
      <c r="B598" s="93"/>
      <c r="C598" s="93"/>
      <c r="D598" s="93"/>
      <c r="E598" s="93"/>
      <c r="F598" s="93"/>
      <c r="G598" s="94"/>
      <c r="H598" s="9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x14ac:dyDescent="0.35">
      <c r="A599" s="7"/>
      <c r="B599" s="93"/>
      <c r="C599" s="93"/>
      <c r="D599" s="93"/>
      <c r="E599" s="93"/>
      <c r="F599" s="93"/>
      <c r="G599" s="94"/>
      <c r="H599" s="9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x14ac:dyDescent="0.35">
      <c r="A600" s="7"/>
      <c r="B600" s="93"/>
      <c r="C600" s="93"/>
      <c r="D600" s="93"/>
      <c r="E600" s="93"/>
      <c r="F600" s="93"/>
      <c r="G600" s="94"/>
      <c r="H600" s="9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x14ac:dyDescent="0.35">
      <c r="A601" s="7"/>
      <c r="B601" s="93"/>
      <c r="C601" s="93"/>
      <c r="D601" s="93"/>
      <c r="E601" s="93"/>
      <c r="F601" s="93"/>
      <c r="G601" s="94"/>
      <c r="H601" s="9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x14ac:dyDescent="0.35">
      <c r="A602" s="7"/>
      <c r="B602" s="93"/>
      <c r="C602" s="93"/>
      <c r="D602" s="93"/>
      <c r="E602" s="93"/>
      <c r="F602" s="93"/>
      <c r="G602" s="94"/>
      <c r="H602" s="9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x14ac:dyDescent="0.35">
      <c r="A603" s="7"/>
      <c r="B603" s="93"/>
      <c r="C603" s="93"/>
      <c r="D603" s="93"/>
      <c r="E603" s="93"/>
      <c r="F603" s="93"/>
      <c r="G603" s="94"/>
      <c r="H603" s="9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x14ac:dyDescent="0.35">
      <c r="A604" s="7"/>
      <c r="B604" s="93"/>
      <c r="C604" s="93"/>
      <c r="D604" s="93"/>
      <c r="E604" s="93"/>
      <c r="F604" s="93"/>
      <c r="G604" s="94"/>
      <c r="H604" s="9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x14ac:dyDescent="0.35">
      <c r="A605" s="7"/>
      <c r="B605" s="93"/>
      <c r="C605" s="93"/>
      <c r="D605" s="93"/>
      <c r="E605" s="93"/>
      <c r="F605" s="93"/>
      <c r="G605" s="94"/>
      <c r="H605" s="9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x14ac:dyDescent="0.35">
      <c r="A606" s="7"/>
      <c r="B606" s="93"/>
      <c r="C606" s="93"/>
      <c r="D606" s="93"/>
      <c r="E606" s="93"/>
      <c r="F606" s="93"/>
      <c r="G606" s="94"/>
      <c r="H606" s="9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x14ac:dyDescent="0.35">
      <c r="A607" s="7"/>
      <c r="B607" s="93"/>
      <c r="C607" s="93"/>
      <c r="D607" s="93"/>
      <c r="E607" s="93"/>
      <c r="F607" s="93"/>
      <c r="G607" s="94"/>
      <c r="H607" s="9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x14ac:dyDescent="0.35">
      <c r="A608" s="7"/>
      <c r="B608" s="93"/>
      <c r="C608" s="93"/>
      <c r="D608" s="93"/>
      <c r="E608" s="93"/>
      <c r="F608" s="93"/>
      <c r="G608" s="94"/>
      <c r="H608" s="9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x14ac:dyDescent="0.35">
      <c r="A609" s="7"/>
      <c r="B609" s="93"/>
      <c r="C609" s="93"/>
      <c r="D609" s="93"/>
      <c r="E609" s="93"/>
      <c r="F609" s="93"/>
      <c r="G609" s="94"/>
      <c r="H609" s="9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x14ac:dyDescent="0.35">
      <c r="A610" s="7"/>
      <c r="B610" s="93"/>
      <c r="C610" s="93"/>
      <c r="D610" s="93"/>
      <c r="E610" s="93"/>
      <c r="F610" s="93"/>
      <c r="G610" s="94"/>
      <c r="H610" s="9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x14ac:dyDescent="0.35">
      <c r="A611" s="7"/>
      <c r="B611" s="93"/>
      <c r="C611" s="93"/>
      <c r="D611" s="93"/>
      <c r="E611" s="93"/>
      <c r="F611" s="93"/>
      <c r="G611" s="94"/>
      <c r="H611" s="9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x14ac:dyDescent="0.35">
      <c r="A612" s="7"/>
      <c r="B612" s="93"/>
      <c r="C612" s="93"/>
      <c r="D612" s="93"/>
      <c r="E612" s="93"/>
      <c r="F612" s="93"/>
      <c r="G612" s="94"/>
      <c r="H612" s="9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x14ac:dyDescent="0.35">
      <c r="A613" s="7"/>
      <c r="B613" s="93"/>
      <c r="C613" s="93"/>
      <c r="D613" s="93"/>
      <c r="E613" s="93"/>
      <c r="F613" s="93"/>
      <c r="G613" s="94"/>
      <c r="H613" s="9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x14ac:dyDescent="0.35">
      <c r="A614" s="7"/>
      <c r="B614" s="93"/>
      <c r="C614" s="93"/>
      <c r="D614" s="93"/>
      <c r="E614" s="93"/>
      <c r="F614" s="93"/>
      <c r="G614" s="94"/>
      <c r="H614" s="9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x14ac:dyDescent="0.35">
      <c r="A615" s="7"/>
      <c r="B615" s="93"/>
      <c r="C615" s="93"/>
      <c r="D615" s="93"/>
      <c r="E615" s="93"/>
      <c r="F615" s="93"/>
      <c r="G615" s="94"/>
      <c r="H615" s="9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x14ac:dyDescent="0.35">
      <c r="A616" s="7"/>
      <c r="B616" s="93"/>
      <c r="C616" s="93"/>
      <c r="D616" s="93"/>
      <c r="E616" s="93"/>
      <c r="F616" s="93"/>
      <c r="G616" s="94"/>
      <c r="H616" s="9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x14ac:dyDescent="0.35">
      <c r="A617" s="7"/>
      <c r="B617" s="93"/>
      <c r="C617" s="93"/>
      <c r="D617" s="93"/>
      <c r="E617" s="93"/>
      <c r="F617" s="93"/>
      <c r="G617" s="94"/>
      <c r="H617" s="9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x14ac:dyDescent="0.35">
      <c r="A618" s="7"/>
      <c r="B618" s="93"/>
      <c r="C618" s="93"/>
      <c r="D618" s="93"/>
      <c r="E618" s="93"/>
      <c r="F618" s="93"/>
      <c r="G618" s="94"/>
      <c r="H618" s="9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x14ac:dyDescent="0.35">
      <c r="A619" s="7"/>
      <c r="B619" s="93"/>
      <c r="C619" s="93"/>
      <c r="D619" s="93"/>
      <c r="E619" s="93"/>
      <c r="F619" s="93"/>
      <c r="G619" s="94"/>
      <c r="H619" s="9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x14ac:dyDescent="0.35">
      <c r="A620" s="7"/>
      <c r="B620" s="93"/>
      <c r="C620" s="93"/>
      <c r="D620" s="93"/>
      <c r="E620" s="93"/>
      <c r="F620" s="93"/>
      <c r="G620" s="94"/>
      <c r="H620" s="9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x14ac:dyDescent="0.35">
      <c r="A621" s="7"/>
      <c r="B621" s="93"/>
      <c r="C621" s="93"/>
      <c r="D621" s="93"/>
      <c r="E621" s="93"/>
      <c r="F621" s="93"/>
      <c r="G621" s="94"/>
      <c r="H621" s="9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x14ac:dyDescent="0.35">
      <c r="A622" s="7"/>
      <c r="B622" s="93"/>
      <c r="C622" s="93"/>
      <c r="D622" s="93"/>
      <c r="E622" s="93"/>
      <c r="F622" s="93"/>
      <c r="G622" s="94"/>
      <c r="H622" s="9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x14ac:dyDescent="0.35">
      <c r="A623" s="7"/>
      <c r="B623" s="93"/>
      <c r="C623" s="93"/>
      <c r="D623" s="93"/>
      <c r="E623" s="93"/>
      <c r="F623" s="93"/>
      <c r="G623" s="94"/>
      <c r="H623" s="9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x14ac:dyDescent="0.35">
      <c r="A624" s="7"/>
      <c r="B624" s="93"/>
      <c r="C624" s="93"/>
      <c r="D624" s="93"/>
      <c r="E624" s="93"/>
      <c r="F624" s="93"/>
      <c r="G624" s="94"/>
      <c r="H624" s="9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x14ac:dyDescent="0.35">
      <c r="A625" s="7"/>
      <c r="B625" s="93"/>
      <c r="C625" s="93"/>
      <c r="D625" s="93"/>
      <c r="E625" s="93"/>
      <c r="F625" s="93"/>
      <c r="G625" s="94"/>
      <c r="H625" s="9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x14ac:dyDescent="0.35">
      <c r="A626" s="7"/>
      <c r="B626" s="93"/>
      <c r="C626" s="93"/>
      <c r="D626" s="93"/>
      <c r="E626" s="93"/>
      <c r="F626" s="93"/>
      <c r="G626" s="94"/>
      <c r="H626" s="9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x14ac:dyDescent="0.35">
      <c r="A627" s="7"/>
      <c r="B627" s="93"/>
      <c r="C627" s="93"/>
      <c r="D627" s="93"/>
      <c r="E627" s="93"/>
      <c r="F627" s="93"/>
      <c r="G627" s="94"/>
      <c r="H627" s="9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x14ac:dyDescent="0.35">
      <c r="A628" s="7"/>
      <c r="B628" s="93"/>
      <c r="C628" s="93"/>
      <c r="D628" s="93"/>
      <c r="E628" s="93"/>
      <c r="F628" s="93"/>
      <c r="G628" s="94"/>
      <c r="H628" s="9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x14ac:dyDescent="0.35">
      <c r="A629" s="7"/>
      <c r="B629" s="93"/>
      <c r="C629" s="93"/>
      <c r="D629" s="93"/>
      <c r="E629" s="93"/>
      <c r="F629" s="93"/>
      <c r="G629" s="94"/>
      <c r="H629" s="9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x14ac:dyDescent="0.35">
      <c r="A630" s="7"/>
      <c r="B630" s="93"/>
      <c r="C630" s="93"/>
      <c r="D630" s="93"/>
      <c r="E630" s="93"/>
      <c r="F630" s="93"/>
      <c r="G630" s="94"/>
      <c r="H630" s="9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x14ac:dyDescent="0.35">
      <c r="A631" s="7"/>
      <c r="B631" s="93"/>
      <c r="C631" s="93"/>
      <c r="D631" s="93"/>
      <c r="E631" s="93"/>
      <c r="F631" s="93"/>
      <c r="G631" s="94"/>
      <c r="H631" s="9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x14ac:dyDescent="0.35">
      <c r="A632" s="7"/>
      <c r="B632" s="93"/>
      <c r="C632" s="93"/>
      <c r="D632" s="93"/>
      <c r="E632" s="93"/>
      <c r="F632" s="93"/>
      <c r="G632" s="94"/>
      <c r="H632" s="9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x14ac:dyDescent="0.35">
      <c r="A633" s="7"/>
      <c r="B633" s="93"/>
      <c r="C633" s="93"/>
      <c r="D633" s="93"/>
      <c r="E633" s="93"/>
      <c r="F633" s="93"/>
      <c r="G633" s="94"/>
      <c r="H633" s="9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x14ac:dyDescent="0.35">
      <c r="A634" s="7"/>
      <c r="B634" s="93"/>
      <c r="C634" s="93"/>
      <c r="D634" s="93"/>
      <c r="E634" s="93"/>
      <c r="F634" s="93"/>
      <c r="G634" s="94"/>
      <c r="H634" s="9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x14ac:dyDescent="0.35">
      <c r="A635" s="7"/>
      <c r="B635" s="93"/>
      <c r="C635" s="93"/>
      <c r="D635" s="93"/>
      <c r="E635" s="93"/>
      <c r="F635" s="93"/>
      <c r="G635" s="94"/>
      <c r="H635" s="9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x14ac:dyDescent="0.35">
      <c r="A636" s="7"/>
      <c r="B636" s="93"/>
      <c r="C636" s="93"/>
      <c r="D636" s="93"/>
      <c r="E636" s="93"/>
      <c r="F636" s="93"/>
      <c r="G636" s="94"/>
      <c r="H636" s="9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x14ac:dyDescent="0.35">
      <c r="A637" s="7"/>
      <c r="B637" s="93"/>
      <c r="C637" s="93"/>
      <c r="D637" s="93"/>
      <c r="E637" s="93"/>
      <c r="F637" s="93"/>
      <c r="G637" s="94"/>
      <c r="H637" s="9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x14ac:dyDescent="0.35">
      <c r="A638" s="7"/>
      <c r="B638" s="93"/>
      <c r="C638" s="93"/>
      <c r="D638" s="93"/>
      <c r="E638" s="93"/>
      <c r="F638" s="93"/>
      <c r="G638" s="94"/>
      <c r="H638" s="9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x14ac:dyDescent="0.35">
      <c r="A639" s="7"/>
      <c r="B639" s="93"/>
      <c r="C639" s="93"/>
      <c r="D639" s="93"/>
      <c r="E639" s="93"/>
      <c r="F639" s="93"/>
      <c r="G639" s="94"/>
      <c r="H639" s="9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x14ac:dyDescent="0.35">
      <c r="A640" s="7"/>
      <c r="B640" s="93"/>
      <c r="C640" s="93"/>
      <c r="D640" s="93"/>
      <c r="E640" s="93"/>
      <c r="F640" s="93"/>
      <c r="G640" s="94"/>
      <c r="H640" s="9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x14ac:dyDescent="0.35">
      <c r="A641" s="7"/>
      <c r="B641" s="93"/>
      <c r="C641" s="93"/>
      <c r="D641" s="93"/>
      <c r="E641" s="93"/>
      <c r="F641" s="93"/>
      <c r="G641" s="94"/>
      <c r="H641" s="9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x14ac:dyDescent="0.35">
      <c r="A642" s="7"/>
      <c r="B642" s="93"/>
      <c r="C642" s="93"/>
      <c r="D642" s="93"/>
      <c r="E642" s="93"/>
      <c r="F642" s="93"/>
      <c r="G642" s="94"/>
      <c r="H642" s="9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x14ac:dyDescent="0.35">
      <c r="A643" s="7"/>
      <c r="B643" s="93"/>
      <c r="C643" s="93"/>
      <c r="D643" s="93"/>
      <c r="E643" s="93"/>
      <c r="F643" s="93"/>
      <c r="G643" s="94"/>
      <c r="H643" s="9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x14ac:dyDescent="0.35">
      <c r="A644" s="7"/>
      <c r="B644" s="93"/>
      <c r="C644" s="93"/>
      <c r="D644" s="93"/>
      <c r="E644" s="93"/>
      <c r="F644" s="93"/>
      <c r="G644" s="94"/>
      <c r="H644" s="9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x14ac:dyDescent="0.35">
      <c r="A645" s="7"/>
      <c r="B645" s="93"/>
      <c r="C645" s="93"/>
      <c r="D645" s="93"/>
      <c r="E645" s="93"/>
      <c r="F645" s="93"/>
      <c r="G645" s="94"/>
      <c r="H645" s="9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x14ac:dyDescent="0.35">
      <c r="A646" s="7"/>
      <c r="B646" s="93"/>
      <c r="C646" s="93"/>
      <c r="D646" s="93"/>
      <c r="E646" s="93"/>
      <c r="F646" s="93"/>
      <c r="G646" s="94"/>
      <c r="H646" s="9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x14ac:dyDescent="0.35">
      <c r="A647" s="7"/>
      <c r="B647" s="93"/>
      <c r="C647" s="93"/>
      <c r="D647" s="93"/>
      <c r="E647" s="93"/>
      <c r="F647" s="93"/>
      <c r="G647" s="94"/>
      <c r="H647" s="9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x14ac:dyDescent="0.35">
      <c r="A648" s="7"/>
      <c r="B648" s="93"/>
      <c r="C648" s="93"/>
      <c r="D648" s="93"/>
      <c r="E648" s="93"/>
      <c r="F648" s="93"/>
      <c r="G648" s="94"/>
      <c r="H648" s="9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x14ac:dyDescent="0.35">
      <c r="A649" s="7"/>
      <c r="B649" s="93"/>
      <c r="C649" s="93"/>
      <c r="D649" s="93"/>
      <c r="E649" s="93"/>
      <c r="F649" s="93"/>
      <c r="G649" s="94"/>
      <c r="H649" s="9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x14ac:dyDescent="0.35">
      <c r="A650" s="7"/>
      <c r="B650" s="93"/>
      <c r="C650" s="93"/>
      <c r="D650" s="93"/>
      <c r="E650" s="93"/>
      <c r="F650" s="93"/>
      <c r="G650" s="94"/>
      <c r="H650" s="9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x14ac:dyDescent="0.35">
      <c r="A651" s="7"/>
      <c r="B651" s="93"/>
      <c r="C651" s="93"/>
      <c r="D651" s="93"/>
      <c r="E651" s="93"/>
      <c r="F651" s="93"/>
      <c r="G651" s="94"/>
      <c r="H651" s="9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x14ac:dyDescent="0.35">
      <c r="A652" s="7"/>
      <c r="B652" s="93"/>
      <c r="C652" s="93"/>
      <c r="D652" s="93"/>
      <c r="E652" s="93"/>
      <c r="F652" s="93"/>
      <c r="G652" s="94"/>
      <c r="H652" s="9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x14ac:dyDescent="0.35">
      <c r="A653" s="7"/>
      <c r="B653" s="93"/>
      <c r="C653" s="93"/>
      <c r="D653" s="93"/>
      <c r="E653" s="93"/>
      <c r="F653" s="93"/>
      <c r="G653" s="94"/>
      <c r="H653" s="9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x14ac:dyDescent="0.35">
      <c r="A654" s="7"/>
      <c r="B654" s="93"/>
      <c r="C654" s="93"/>
      <c r="D654" s="93"/>
      <c r="E654" s="93"/>
      <c r="F654" s="93"/>
      <c r="G654" s="94"/>
      <c r="H654" s="9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x14ac:dyDescent="0.35">
      <c r="A655" s="7"/>
      <c r="B655" s="93"/>
      <c r="C655" s="93"/>
      <c r="D655" s="93"/>
      <c r="E655" s="93"/>
      <c r="F655" s="93"/>
      <c r="G655" s="94"/>
      <c r="H655" s="9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x14ac:dyDescent="0.35">
      <c r="A656" s="7"/>
      <c r="B656" s="93"/>
      <c r="C656" s="93"/>
      <c r="D656" s="93"/>
      <c r="E656" s="93"/>
      <c r="F656" s="93"/>
      <c r="G656" s="94"/>
      <c r="H656" s="9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x14ac:dyDescent="0.35">
      <c r="A657" s="7"/>
      <c r="B657" s="93"/>
      <c r="C657" s="93"/>
      <c r="D657" s="93"/>
      <c r="E657" s="93"/>
      <c r="F657" s="93"/>
      <c r="G657" s="94"/>
      <c r="H657" s="9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x14ac:dyDescent="0.35">
      <c r="A658" s="7"/>
      <c r="B658" s="93"/>
      <c r="C658" s="93"/>
      <c r="D658" s="93"/>
      <c r="E658" s="93"/>
      <c r="F658" s="93"/>
      <c r="G658" s="94"/>
      <c r="H658" s="9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x14ac:dyDescent="0.35">
      <c r="A659" s="7"/>
      <c r="B659" s="93"/>
      <c r="C659" s="93"/>
      <c r="D659" s="93"/>
      <c r="E659" s="93"/>
      <c r="F659" s="93"/>
      <c r="G659" s="94"/>
      <c r="H659" s="9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x14ac:dyDescent="0.35">
      <c r="A660" s="7"/>
      <c r="B660" s="93"/>
      <c r="C660" s="93"/>
      <c r="D660" s="93"/>
      <c r="E660" s="93"/>
      <c r="F660" s="93"/>
      <c r="G660" s="94"/>
      <c r="H660" s="9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x14ac:dyDescent="0.35">
      <c r="A661" s="7"/>
      <c r="B661" s="93"/>
      <c r="C661" s="93"/>
      <c r="D661" s="93"/>
      <c r="E661" s="93"/>
      <c r="F661" s="93"/>
      <c r="G661" s="94"/>
      <c r="H661" s="9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x14ac:dyDescent="0.35">
      <c r="A662" s="7"/>
      <c r="B662" s="93"/>
      <c r="C662" s="93"/>
      <c r="D662" s="93"/>
      <c r="E662" s="93"/>
      <c r="F662" s="93"/>
      <c r="G662" s="94"/>
      <c r="H662" s="9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x14ac:dyDescent="0.35">
      <c r="A663" s="7"/>
      <c r="B663" s="93"/>
      <c r="C663" s="93"/>
      <c r="D663" s="93"/>
      <c r="E663" s="93"/>
      <c r="F663" s="93"/>
      <c r="G663" s="94"/>
      <c r="H663" s="9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x14ac:dyDescent="0.35">
      <c r="A664" s="7"/>
      <c r="B664" s="93"/>
      <c r="C664" s="93"/>
      <c r="D664" s="93"/>
      <c r="E664" s="93"/>
      <c r="F664" s="93"/>
      <c r="G664" s="94"/>
      <c r="H664" s="9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x14ac:dyDescent="0.35">
      <c r="A665" s="7"/>
      <c r="B665" s="93"/>
      <c r="C665" s="93"/>
      <c r="D665" s="93"/>
      <c r="E665" s="93"/>
      <c r="F665" s="93"/>
      <c r="G665" s="94"/>
      <c r="H665" s="9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x14ac:dyDescent="0.35">
      <c r="A666" s="7"/>
      <c r="B666" s="93"/>
      <c r="C666" s="93"/>
      <c r="D666" s="93"/>
      <c r="E666" s="93"/>
      <c r="F666" s="93"/>
      <c r="G666" s="94"/>
      <c r="H666" s="9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x14ac:dyDescent="0.35">
      <c r="A667" s="7"/>
      <c r="B667" s="93"/>
      <c r="C667" s="93"/>
      <c r="D667" s="93"/>
      <c r="E667" s="93"/>
      <c r="F667" s="93"/>
      <c r="G667" s="94"/>
      <c r="H667" s="9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x14ac:dyDescent="0.35">
      <c r="A668" s="7"/>
      <c r="B668" s="93"/>
      <c r="C668" s="93"/>
      <c r="D668" s="93"/>
      <c r="E668" s="93"/>
      <c r="F668" s="93"/>
      <c r="G668" s="94"/>
      <c r="H668" s="9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x14ac:dyDescent="0.35">
      <c r="A669" s="7"/>
      <c r="B669" s="93"/>
      <c r="C669" s="93"/>
      <c r="D669" s="93"/>
      <c r="E669" s="93"/>
      <c r="F669" s="93"/>
      <c r="G669" s="94"/>
      <c r="H669" s="9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x14ac:dyDescent="0.35">
      <c r="A670" s="7"/>
      <c r="B670" s="93"/>
      <c r="C670" s="93"/>
      <c r="D670" s="93"/>
      <c r="E670" s="93"/>
      <c r="F670" s="93"/>
      <c r="G670" s="94"/>
      <c r="H670" s="9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x14ac:dyDescent="0.35">
      <c r="A671" s="7"/>
      <c r="B671" s="93"/>
      <c r="C671" s="93"/>
      <c r="D671" s="93"/>
      <c r="E671" s="93"/>
      <c r="F671" s="93"/>
      <c r="G671" s="94"/>
      <c r="H671" s="9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x14ac:dyDescent="0.35">
      <c r="A672" s="7"/>
      <c r="B672" s="93"/>
      <c r="C672" s="93"/>
      <c r="D672" s="93"/>
      <c r="E672" s="93"/>
      <c r="F672" s="93"/>
      <c r="G672" s="94"/>
      <c r="H672" s="9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x14ac:dyDescent="0.35">
      <c r="A673" s="7"/>
      <c r="B673" s="93"/>
      <c r="C673" s="93"/>
      <c r="D673" s="93"/>
      <c r="E673" s="93"/>
      <c r="F673" s="93"/>
      <c r="G673" s="94"/>
      <c r="H673" s="9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x14ac:dyDescent="0.35">
      <c r="A674" s="7"/>
      <c r="B674" s="93"/>
      <c r="C674" s="93"/>
      <c r="D674" s="93"/>
      <c r="E674" s="93"/>
      <c r="F674" s="93"/>
      <c r="G674" s="94"/>
      <c r="H674" s="9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x14ac:dyDescent="0.35">
      <c r="A675" s="7"/>
      <c r="B675" s="93"/>
      <c r="C675" s="93"/>
      <c r="D675" s="93"/>
      <c r="E675" s="93"/>
      <c r="F675" s="93"/>
      <c r="G675" s="94"/>
      <c r="H675" s="9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x14ac:dyDescent="0.35">
      <c r="A676" s="7"/>
      <c r="B676" s="93"/>
      <c r="C676" s="93"/>
      <c r="D676" s="93"/>
      <c r="E676" s="93"/>
      <c r="F676" s="93"/>
      <c r="G676" s="94"/>
      <c r="H676" s="9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x14ac:dyDescent="0.35">
      <c r="A677" s="7"/>
      <c r="B677" s="93"/>
      <c r="C677" s="93"/>
      <c r="D677" s="93"/>
      <c r="E677" s="93"/>
      <c r="F677" s="93"/>
      <c r="G677" s="94"/>
      <c r="H677" s="9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x14ac:dyDescent="0.35">
      <c r="A678" s="7"/>
      <c r="B678" s="93"/>
      <c r="C678" s="93"/>
      <c r="D678" s="93"/>
      <c r="E678" s="93"/>
      <c r="F678" s="93"/>
      <c r="G678" s="94"/>
      <c r="H678" s="9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x14ac:dyDescent="0.35">
      <c r="A679" s="7"/>
      <c r="B679" s="93"/>
      <c r="C679" s="93"/>
      <c r="D679" s="93"/>
      <c r="E679" s="93"/>
      <c r="F679" s="93"/>
      <c r="G679" s="94"/>
      <c r="H679" s="9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x14ac:dyDescent="0.35">
      <c r="A680" s="7"/>
      <c r="B680" s="93"/>
      <c r="C680" s="93"/>
      <c r="D680" s="93"/>
      <c r="E680" s="93"/>
      <c r="F680" s="93"/>
      <c r="G680" s="94"/>
      <c r="H680" s="9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x14ac:dyDescent="0.35">
      <c r="A681" s="7"/>
      <c r="B681" s="93"/>
      <c r="C681" s="93"/>
      <c r="D681" s="93"/>
      <c r="E681" s="93"/>
      <c r="F681" s="93"/>
      <c r="G681" s="94"/>
      <c r="H681" s="9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x14ac:dyDescent="0.35">
      <c r="A682" s="7"/>
      <c r="B682" s="93"/>
      <c r="C682" s="93"/>
      <c r="D682" s="93"/>
      <c r="E682" s="93"/>
      <c r="F682" s="93"/>
      <c r="G682" s="94"/>
      <c r="H682" s="9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x14ac:dyDescent="0.35">
      <c r="A683" s="7"/>
      <c r="B683" s="93"/>
      <c r="C683" s="93"/>
      <c r="D683" s="93"/>
      <c r="E683" s="93"/>
      <c r="F683" s="93"/>
      <c r="G683" s="94"/>
      <c r="H683" s="9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x14ac:dyDescent="0.35">
      <c r="A684" s="7"/>
      <c r="B684" s="93"/>
      <c r="C684" s="93"/>
      <c r="D684" s="93"/>
      <c r="E684" s="93"/>
      <c r="F684" s="93"/>
      <c r="G684" s="94"/>
      <c r="H684" s="9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x14ac:dyDescent="0.35">
      <c r="A685" s="7"/>
      <c r="B685" s="93"/>
      <c r="C685" s="93"/>
      <c r="D685" s="93"/>
      <c r="E685" s="93"/>
      <c r="F685" s="93"/>
      <c r="G685" s="94"/>
      <c r="H685" s="9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x14ac:dyDescent="0.35">
      <c r="A686" s="7"/>
      <c r="B686" s="93"/>
      <c r="C686" s="93"/>
      <c r="D686" s="93"/>
      <c r="E686" s="93"/>
      <c r="F686" s="93"/>
      <c r="G686" s="94"/>
      <c r="H686" s="9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x14ac:dyDescent="0.35">
      <c r="A687" s="7"/>
      <c r="B687" s="93"/>
      <c r="C687" s="93"/>
      <c r="D687" s="93"/>
      <c r="E687" s="93"/>
      <c r="F687" s="93"/>
      <c r="G687" s="94"/>
      <c r="H687" s="9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x14ac:dyDescent="0.35">
      <c r="A688" s="7"/>
      <c r="B688" s="93"/>
      <c r="C688" s="93"/>
      <c r="D688" s="93"/>
      <c r="E688" s="93"/>
      <c r="F688" s="93"/>
      <c r="G688" s="94"/>
      <c r="H688" s="9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x14ac:dyDescent="0.35">
      <c r="A689" s="7"/>
      <c r="B689" s="93"/>
      <c r="C689" s="93"/>
      <c r="D689" s="93"/>
      <c r="E689" s="93"/>
      <c r="F689" s="93"/>
      <c r="G689" s="94"/>
      <c r="H689" s="9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x14ac:dyDescent="0.35">
      <c r="A690" s="7"/>
      <c r="B690" s="93"/>
      <c r="C690" s="93"/>
      <c r="D690" s="93"/>
      <c r="E690" s="93"/>
      <c r="F690" s="93"/>
      <c r="G690" s="94"/>
      <c r="H690" s="9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x14ac:dyDescent="0.35">
      <c r="A691" s="7"/>
      <c r="B691" s="93"/>
      <c r="C691" s="93"/>
      <c r="D691" s="93"/>
      <c r="E691" s="93"/>
      <c r="F691" s="93"/>
      <c r="G691" s="94"/>
      <c r="H691" s="9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x14ac:dyDescent="0.35">
      <c r="A692" s="7"/>
      <c r="B692" s="93"/>
      <c r="C692" s="93"/>
      <c r="D692" s="93"/>
      <c r="E692" s="93"/>
      <c r="F692" s="93"/>
      <c r="G692" s="94"/>
      <c r="H692" s="9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x14ac:dyDescent="0.35">
      <c r="A693" s="7"/>
      <c r="B693" s="93"/>
      <c r="C693" s="93"/>
      <c r="D693" s="93"/>
      <c r="E693" s="93"/>
      <c r="F693" s="93"/>
      <c r="G693" s="94"/>
      <c r="H693" s="9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x14ac:dyDescent="0.35">
      <c r="A694" s="7"/>
      <c r="B694" s="93"/>
      <c r="C694" s="93"/>
      <c r="D694" s="93"/>
      <c r="E694" s="93"/>
      <c r="F694" s="93"/>
      <c r="G694" s="94"/>
      <c r="H694" s="9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x14ac:dyDescent="0.35">
      <c r="A695" s="7"/>
      <c r="B695" s="93"/>
      <c r="C695" s="93"/>
      <c r="D695" s="93"/>
      <c r="E695" s="93"/>
      <c r="F695" s="93"/>
      <c r="G695" s="94"/>
      <c r="H695" s="9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x14ac:dyDescent="0.35">
      <c r="A696" s="7"/>
      <c r="B696" s="93"/>
      <c r="C696" s="93"/>
      <c r="D696" s="93"/>
      <c r="E696" s="93"/>
      <c r="F696" s="93"/>
      <c r="G696" s="94"/>
      <c r="H696" s="9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x14ac:dyDescent="0.35">
      <c r="A697" s="7"/>
      <c r="B697" s="93"/>
      <c r="C697" s="93"/>
      <c r="D697" s="93"/>
      <c r="E697" s="93"/>
      <c r="F697" s="93"/>
      <c r="G697" s="94"/>
      <c r="H697" s="9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x14ac:dyDescent="0.35">
      <c r="A698" s="7"/>
      <c r="B698" s="93"/>
      <c r="C698" s="93"/>
      <c r="D698" s="93"/>
      <c r="E698" s="93"/>
      <c r="F698" s="93"/>
      <c r="G698" s="94"/>
      <c r="H698" s="9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x14ac:dyDescent="0.35">
      <c r="A699" s="7"/>
      <c r="B699" s="93"/>
      <c r="C699" s="93"/>
      <c r="D699" s="93"/>
      <c r="E699" s="93"/>
      <c r="F699" s="93"/>
      <c r="G699" s="94"/>
      <c r="H699" s="9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x14ac:dyDescent="0.35">
      <c r="A700" s="7"/>
      <c r="B700" s="93"/>
      <c r="C700" s="93"/>
      <c r="D700" s="93"/>
      <c r="E700" s="93"/>
      <c r="F700" s="93"/>
      <c r="G700" s="94"/>
      <c r="H700" s="9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x14ac:dyDescent="0.35">
      <c r="A701" s="7"/>
      <c r="B701" s="93"/>
      <c r="C701" s="93"/>
      <c r="D701" s="93"/>
      <c r="E701" s="93"/>
      <c r="F701" s="93"/>
      <c r="G701" s="94"/>
      <c r="H701" s="9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x14ac:dyDescent="0.35">
      <c r="A702" s="7"/>
      <c r="B702" s="93"/>
      <c r="C702" s="93"/>
      <c r="D702" s="93"/>
      <c r="E702" s="93"/>
      <c r="F702" s="93"/>
      <c r="G702" s="94"/>
      <c r="H702" s="9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x14ac:dyDescent="0.35">
      <c r="A703" s="7"/>
      <c r="B703" s="93"/>
      <c r="C703" s="93"/>
      <c r="D703" s="93"/>
      <c r="E703" s="93"/>
      <c r="F703" s="93"/>
      <c r="G703" s="94"/>
      <c r="H703" s="9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x14ac:dyDescent="0.35">
      <c r="A704" s="7"/>
      <c r="B704" s="93"/>
      <c r="C704" s="93"/>
      <c r="D704" s="93"/>
      <c r="E704" s="93"/>
      <c r="F704" s="93"/>
      <c r="G704" s="94"/>
      <c r="H704" s="9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x14ac:dyDescent="0.35">
      <c r="A705" s="7"/>
      <c r="B705" s="93"/>
      <c r="C705" s="93"/>
      <c r="D705" s="93"/>
      <c r="E705" s="93"/>
      <c r="F705" s="93"/>
      <c r="G705" s="94"/>
      <c r="H705" s="9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x14ac:dyDescent="0.35">
      <c r="A706" s="7"/>
      <c r="B706" s="93"/>
      <c r="C706" s="93"/>
      <c r="D706" s="93"/>
      <c r="E706" s="93"/>
      <c r="F706" s="93"/>
      <c r="G706" s="94"/>
      <c r="H706" s="9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x14ac:dyDescent="0.35">
      <c r="A707" s="7"/>
      <c r="B707" s="93"/>
      <c r="C707" s="93"/>
      <c r="D707" s="93"/>
      <c r="E707" s="93"/>
      <c r="F707" s="93"/>
      <c r="G707" s="94"/>
      <c r="H707" s="9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x14ac:dyDescent="0.35">
      <c r="A708" s="7"/>
      <c r="B708" s="93"/>
      <c r="C708" s="93"/>
      <c r="D708" s="93"/>
      <c r="E708" s="93"/>
      <c r="F708" s="93"/>
      <c r="G708" s="94"/>
      <c r="H708" s="9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x14ac:dyDescent="0.35">
      <c r="A709" s="7"/>
      <c r="B709" s="93"/>
      <c r="C709" s="93"/>
      <c r="D709" s="93"/>
      <c r="E709" s="93"/>
      <c r="F709" s="93"/>
      <c r="G709" s="94"/>
      <c r="H709" s="9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x14ac:dyDescent="0.35">
      <c r="A710" s="7"/>
      <c r="B710" s="93"/>
      <c r="C710" s="93"/>
      <c r="D710" s="93"/>
      <c r="E710" s="93"/>
      <c r="F710" s="93"/>
      <c r="G710" s="94"/>
      <c r="H710" s="9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x14ac:dyDescent="0.35">
      <c r="A711" s="7"/>
      <c r="B711" s="93"/>
      <c r="C711" s="93"/>
      <c r="D711" s="93"/>
      <c r="E711" s="93"/>
      <c r="F711" s="93"/>
      <c r="G711" s="94"/>
      <c r="H711" s="9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x14ac:dyDescent="0.35">
      <c r="A712" s="7"/>
      <c r="B712" s="93"/>
      <c r="C712" s="93"/>
      <c r="D712" s="93"/>
      <c r="E712" s="93"/>
      <c r="F712" s="93"/>
      <c r="G712" s="94"/>
      <c r="H712" s="9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x14ac:dyDescent="0.35">
      <c r="A713" s="7"/>
      <c r="B713" s="93"/>
      <c r="C713" s="93"/>
      <c r="D713" s="93"/>
      <c r="E713" s="93"/>
      <c r="F713" s="93"/>
      <c r="G713" s="94"/>
      <c r="H713" s="9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x14ac:dyDescent="0.35">
      <c r="A714" s="7"/>
      <c r="B714" s="93"/>
      <c r="C714" s="93"/>
      <c r="D714" s="93"/>
      <c r="E714" s="93"/>
      <c r="F714" s="93"/>
      <c r="G714" s="94"/>
      <c r="H714" s="9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x14ac:dyDescent="0.35">
      <c r="A715" s="7"/>
      <c r="B715" s="93"/>
      <c r="C715" s="93"/>
      <c r="D715" s="93"/>
      <c r="E715" s="93"/>
      <c r="F715" s="93"/>
      <c r="G715" s="94"/>
      <c r="H715" s="9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x14ac:dyDescent="0.35">
      <c r="A716" s="7"/>
      <c r="B716" s="93"/>
      <c r="C716" s="93"/>
      <c r="D716" s="93"/>
      <c r="E716" s="93"/>
      <c r="F716" s="93"/>
      <c r="G716" s="94"/>
      <c r="H716" s="9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x14ac:dyDescent="0.35">
      <c r="A717" s="7"/>
      <c r="B717" s="93"/>
      <c r="C717" s="93"/>
      <c r="D717" s="93"/>
      <c r="E717" s="93"/>
      <c r="F717" s="93"/>
      <c r="G717" s="94"/>
      <c r="H717" s="9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x14ac:dyDescent="0.35">
      <c r="A718" s="7"/>
      <c r="B718" s="93"/>
      <c r="C718" s="93"/>
      <c r="D718" s="93"/>
      <c r="E718" s="93"/>
      <c r="F718" s="93"/>
      <c r="G718" s="94"/>
      <c r="H718" s="9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x14ac:dyDescent="0.35">
      <c r="A719" s="7"/>
      <c r="B719" s="93"/>
      <c r="C719" s="93"/>
      <c r="D719" s="93"/>
      <c r="E719" s="93"/>
      <c r="F719" s="93"/>
      <c r="G719" s="94"/>
      <c r="H719" s="9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x14ac:dyDescent="0.35">
      <c r="A720" s="7"/>
      <c r="B720" s="93"/>
      <c r="C720" s="93"/>
      <c r="D720" s="93"/>
      <c r="E720" s="93"/>
      <c r="F720" s="93"/>
      <c r="G720" s="94"/>
      <c r="H720" s="9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x14ac:dyDescent="0.35">
      <c r="A721" s="7"/>
      <c r="B721" s="93"/>
      <c r="C721" s="93"/>
      <c r="D721" s="93"/>
      <c r="E721" s="93"/>
      <c r="F721" s="93"/>
      <c r="G721" s="94"/>
      <c r="H721" s="9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x14ac:dyDescent="0.35">
      <c r="A722" s="7"/>
      <c r="B722" s="93"/>
      <c r="C722" s="93"/>
      <c r="D722" s="93"/>
      <c r="E722" s="93"/>
      <c r="F722" s="93"/>
      <c r="G722" s="94"/>
      <c r="H722" s="9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x14ac:dyDescent="0.35">
      <c r="A723" s="7"/>
      <c r="B723" s="93"/>
      <c r="C723" s="93"/>
      <c r="D723" s="93"/>
      <c r="E723" s="93"/>
      <c r="F723" s="93"/>
      <c r="G723" s="94"/>
      <c r="H723" s="9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x14ac:dyDescent="0.35">
      <c r="A724" s="7"/>
      <c r="B724" s="93"/>
      <c r="C724" s="93"/>
      <c r="D724" s="93"/>
      <c r="E724" s="93"/>
      <c r="F724" s="93"/>
      <c r="G724" s="94"/>
      <c r="H724" s="9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x14ac:dyDescent="0.35">
      <c r="A725" s="7"/>
      <c r="B725" s="93"/>
      <c r="C725" s="93"/>
      <c r="D725" s="93"/>
      <c r="E725" s="93"/>
      <c r="F725" s="93"/>
      <c r="G725" s="94"/>
      <c r="H725" s="9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x14ac:dyDescent="0.35">
      <c r="A726" s="7"/>
      <c r="B726" s="93"/>
      <c r="C726" s="93"/>
      <c r="D726" s="93"/>
      <c r="E726" s="93"/>
      <c r="F726" s="93"/>
      <c r="G726" s="94"/>
      <c r="H726" s="9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x14ac:dyDescent="0.35">
      <c r="A727" s="7"/>
      <c r="B727" s="93"/>
      <c r="C727" s="93"/>
      <c r="D727" s="93"/>
      <c r="E727" s="93"/>
      <c r="F727" s="93"/>
      <c r="G727" s="94"/>
      <c r="H727" s="9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x14ac:dyDescent="0.35">
      <c r="A728" s="7"/>
      <c r="B728" s="93"/>
      <c r="C728" s="93"/>
      <c r="D728" s="93"/>
      <c r="E728" s="93"/>
      <c r="F728" s="93"/>
      <c r="G728" s="94"/>
      <c r="H728" s="9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x14ac:dyDescent="0.35">
      <c r="A729" s="7"/>
      <c r="B729" s="93"/>
      <c r="C729" s="93"/>
      <c r="D729" s="93"/>
      <c r="E729" s="93"/>
      <c r="F729" s="93"/>
      <c r="G729" s="94"/>
      <c r="H729" s="9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x14ac:dyDescent="0.35">
      <c r="A730" s="7"/>
      <c r="B730" s="93"/>
      <c r="C730" s="93"/>
      <c r="D730" s="93"/>
      <c r="E730" s="93"/>
      <c r="F730" s="93"/>
      <c r="G730" s="94"/>
      <c r="H730" s="9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x14ac:dyDescent="0.35">
      <c r="A731" s="7"/>
      <c r="B731" s="93"/>
      <c r="C731" s="93"/>
      <c r="D731" s="93"/>
      <c r="E731" s="93"/>
      <c r="F731" s="93"/>
      <c r="G731" s="94"/>
      <c r="H731" s="9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x14ac:dyDescent="0.35">
      <c r="A732" s="7"/>
      <c r="B732" s="93"/>
      <c r="C732" s="93"/>
      <c r="D732" s="93"/>
      <c r="E732" s="93"/>
      <c r="F732" s="93"/>
      <c r="G732" s="94"/>
      <c r="H732" s="9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x14ac:dyDescent="0.35">
      <c r="A733" s="7"/>
      <c r="B733" s="93"/>
      <c r="C733" s="93"/>
      <c r="D733" s="93"/>
      <c r="E733" s="93"/>
      <c r="F733" s="93"/>
      <c r="G733" s="94"/>
      <c r="H733" s="9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x14ac:dyDescent="0.35">
      <c r="A734" s="7"/>
      <c r="B734" s="93"/>
      <c r="C734" s="93"/>
      <c r="D734" s="93"/>
      <c r="E734" s="93"/>
      <c r="F734" s="93"/>
      <c r="G734" s="94"/>
      <c r="H734" s="9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x14ac:dyDescent="0.35">
      <c r="A735" s="7"/>
      <c r="B735" s="93"/>
      <c r="C735" s="93"/>
      <c r="D735" s="93"/>
      <c r="E735" s="93"/>
      <c r="F735" s="93"/>
      <c r="G735" s="94"/>
      <c r="H735" s="9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x14ac:dyDescent="0.35">
      <c r="A736" s="7"/>
      <c r="B736" s="93"/>
      <c r="C736" s="93"/>
      <c r="D736" s="93"/>
      <c r="E736" s="93"/>
      <c r="F736" s="93"/>
      <c r="G736" s="94"/>
      <c r="H736" s="9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x14ac:dyDescent="0.35">
      <c r="A737" s="7"/>
      <c r="B737" s="93"/>
      <c r="C737" s="93"/>
      <c r="D737" s="93"/>
      <c r="E737" s="93"/>
      <c r="F737" s="93"/>
      <c r="G737" s="94"/>
      <c r="H737" s="9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x14ac:dyDescent="0.35">
      <c r="A738" s="7"/>
      <c r="B738" s="93"/>
      <c r="C738" s="93"/>
      <c r="D738" s="93"/>
      <c r="E738" s="93"/>
      <c r="F738" s="93"/>
      <c r="G738" s="94"/>
      <c r="H738" s="9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x14ac:dyDescent="0.35">
      <c r="A739" s="7"/>
      <c r="B739" s="93"/>
      <c r="C739" s="93"/>
      <c r="D739" s="93"/>
      <c r="E739" s="93"/>
      <c r="F739" s="93"/>
      <c r="G739" s="94"/>
      <c r="H739" s="9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x14ac:dyDescent="0.35">
      <c r="A740" s="7"/>
      <c r="B740" s="93"/>
      <c r="C740" s="93"/>
      <c r="D740" s="93"/>
      <c r="E740" s="93"/>
      <c r="F740" s="93"/>
      <c r="G740" s="94"/>
      <c r="H740" s="9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x14ac:dyDescent="0.35">
      <c r="A741" s="7"/>
      <c r="B741" s="93"/>
      <c r="C741" s="93"/>
      <c r="D741" s="93"/>
      <c r="E741" s="93"/>
      <c r="F741" s="93"/>
      <c r="G741" s="94"/>
      <c r="H741" s="9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x14ac:dyDescent="0.35">
      <c r="A742" s="7"/>
      <c r="B742" s="93"/>
      <c r="C742" s="93"/>
      <c r="D742" s="93"/>
      <c r="E742" s="93"/>
      <c r="F742" s="93"/>
      <c r="G742" s="94"/>
      <c r="H742" s="9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x14ac:dyDescent="0.35">
      <c r="A743" s="7"/>
      <c r="B743" s="93"/>
      <c r="C743" s="93"/>
      <c r="D743" s="93"/>
      <c r="E743" s="93"/>
      <c r="F743" s="93"/>
      <c r="G743" s="94"/>
      <c r="H743" s="9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x14ac:dyDescent="0.35">
      <c r="A744" s="7"/>
      <c r="B744" s="93"/>
      <c r="C744" s="93"/>
      <c r="D744" s="93"/>
      <c r="E744" s="93"/>
      <c r="F744" s="93"/>
      <c r="G744" s="94"/>
      <c r="H744" s="9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x14ac:dyDescent="0.35">
      <c r="A745" s="7"/>
      <c r="B745" s="93"/>
      <c r="C745" s="93"/>
      <c r="D745" s="93"/>
      <c r="E745" s="93"/>
      <c r="F745" s="93"/>
      <c r="G745" s="94"/>
      <c r="H745" s="9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x14ac:dyDescent="0.35">
      <c r="A746" s="7"/>
      <c r="B746" s="93"/>
      <c r="C746" s="93"/>
      <c r="D746" s="93"/>
      <c r="E746" s="93"/>
      <c r="F746" s="93"/>
      <c r="G746" s="94"/>
      <c r="H746" s="9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x14ac:dyDescent="0.35">
      <c r="A747" s="7"/>
      <c r="B747" s="93"/>
      <c r="C747" s="93"/>
      <c r="D747" s="93"/>
      <c r="E747" s="93"/>
      <c r="F747" s="93"/>
      <c r="G747" s="94"/>
      <c r="H747" s="9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x14ac:dyDescent="0.35">
      <c r="A748" s="7"/>
      <c r="B748" s="93"/>
      <c r="C748" s="93"/>
      <c r="D748" s="93"/>
      <c r="E748" s="93"/>
      <c r="F748" s="93"/>
      <c r="G748" s="94"/>
      <c r="H748" s="9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x14ac:dyDescent="0.35">
      <c r="A749" s="7"/>
      <c r="B749" s="93"/>
      <c r="C749" s="93"/>
      <c r="D749" s="93"/>
      <c r="E749" s="93"/>
      <c r="F749" s="93"/>
      <c r="G749" s="94"/>
      <c r="H749" s="9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x14ac:dyDescent="0.35">
      <c r="A750" s="7"/>
      <c r="B750" s="93"/>
      <c r="C750" s="93"/>
      <c r="D750" s="93"/>
      <c r="E750" s="93"/>
      <c r="F750" s="93"/>
      <c r="G750" s="94"/>
      <c r="H750" s="9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x14ac:dyDescent="0.35">
      <c r="A751" s="7"/>
      <c r="B751" s="93"/>
      <c r="C751" s="93"/>
      <c r="D751" s="93"/>
      <c r="E751" s="93"/>
      <c r="F751" s="93"/>
      <c r="G751" s="94"/>
      <c r="H751" s="9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x14ac:dyDescent="0.35">
      <c r="A752" s="7"/>
      <c r="B752" s="93"/>
      <c r="C752" s="93"/>
      <c r="D752" s="93"/>
      <c r="E752" s="93"/>
      <c r="F752" s="93"/>
      <c r="G752" s="94"/>
      <c r="H752" s="9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x14ac:dyDescent="0.35">
      <c r="A753" s="7"/>
      <c r="B753" s="93"/>
      <c r="C753" s="93"/>
      <c r="D753" s="93"/>
      <c r="E753" s="93"/>
      <c r="F753" s="93"/>
      <c r="G753" s="94"/>
      <c r="H753" s="9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x14ac:dyDescent="0.35">
      <c r="A754" s="7"/>
      <c r="B754" s="93"/>
      <c r="C754" s="93"/>
      <c r="D754" s="93"/>
      <c r="E754" s="93"/>
      <c r="F754" s="93"/>
      <c r="G754" s="94"/>
      <c r="H754" s="9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x14ac:dyDescent="0.35">
      <c r="A755" s="7"/>
      <c r="B755" s="93"/>
      <c r="C755" s="93"/>
      <c r="D755" s="93"/>
      <c r="E755" s="93"/>
      <c r="F755" s="93"/>
      <c r="G755" s="94"/>
      <c r="H755" s="9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x14ac:dyDescent="0.35">
      <c r="A756" s="7"/>
      <c r="B756" s="93"/>
      <c r="C756" s="93"/>
      <c r="D756" s="93"/>
      <c r="E756" s="93"/>
      <c r="F756" s="93"/>
      <c r="G756" s="94"/>
      <c r="H756" s="9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x14ac:dyDescent="0.35">
      <c r="A757" s="7"/>
      <c r="B757" s="93"/>
      <c r="C757" s="93"/>
      <c r="D757" s="93"/>
      <c r="E757" s="93"/>
      <c r="F757" s="93"/>
      <c r="G757" s="94"/>
      <c r="H757" s="9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x14ac:dyDescent="0.35">
      <c r="A758" s="7"/>
      <c r="B758" s="93"/>
      <c r="C758" s="93"/>
      <c r="D758" s="93"/>
      <c r="E758" s="93"/>
      <c r="F758" s="93"/>
      <c r="G758" s="94"/>
      <c r="H758" s="9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x14ac:dyDescent="0.35">
      <c r="A759" s="7"/>
      <c r="B759" s="93"/>
      <c r="C759" s="93"/>
      <c r="D759" s="93"/>
      <c r="E759" s="93"/>
      <c r="F759" s="93"/>
      <c r="G759" s="94"/>
      <c r="H759" s="9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x14ac:dyDescent="0.35">
      <c r="A760" s="7"/>
      <c r="B760" s="93"/>
      <c r="C760" s="93"/>
      <c r="D760" s="93"/>
      <c r="E760" s="93"/>
      <c r="F760" s="93"/>
      <c r="G760" s="94"/>
      <c r="H760" s="9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x14ac:dyDescent="0.35">
      <c r="A761" s="7"/>
      <c r="B761" s="93"/>
      <c r="C761" s="93"/>
      <c r="D761" s="93"/>
      <c r="E761" s="93"/>
      <c r="F761" s="93"/>
      <c r="G761" s="94"/>
      <c r="H761" s="9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x14ac:dyDescent="0.35">
      <c r="A762" s="7"/>
      <c r="B762" s="93"/>
      <c r="C762" s="93"/>
      <c r="D762" s="93"/>
      <c r="E762" s="93"/>
      <c r="F762" s="93"/>
      <c r="G762" s="94"/>
      <c r="H762" s="9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x14ac:dyDescent="0.35">
      <c r="A763" s="7"/>
      <c r="B763" s="93"/>
      <c r="C763" s="93"/>
      <c r="D763" s="93"/>
      <c r="E763" s="93"/>
      <c r="F763" s="93"/>
      <c r="G763" s="94"/>
      <c r="H763" s="9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x14ac:dyDescent="0.35">
      <c r="A764" s="7"/>
      <c r="B764" s="93"/>
      <c r="C764" s="93"/>
      <c r="D764" s="93"/>
      <c r="E764" s="93"/>
      <c r="F764" s="93"/>
      <c r="G764" s="94"/>
      <c r="H764" s="9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x14ac:dyDescent="0.35">
      <c r="A765" s="7"/>
      <c r="B765" s="93"/>
      <c r="C765" s="93"/>
      <c r="D765" s="93"/>
      <c r="E765" s="93"/>
      <c r="F765" s="93"/>
      <c r="G765" s="94"/>
      <c r="H765" s="9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x14ac:dyDescent="0.35">
      <c r="A766" s="7"/>
      <c r="B766" s="93"/>
      <c r="C766" s="93"/>
      <c r="D766" s="93"/>
      <c r="E766" s="93"/>
      <c r="F766" s="93"/>
      <c r="G766" s="94"/>
      <c r="H766" s="9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x14ac:dyDescent="0.35">
      <c r="A767" s="7"/>
      <c r="B767" s="93"/>
      <c r="C767" s="93"/>
      <c r="D767" s="93"/>
      <c r="E767" s="93"/>
      <c r="F767" s="93"/>
      <c r="G767" s="94"/>
      <c r="H767" s="9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x14ac:dyDescent="0.35">
      <c r="A768" s="7"/>
      <c r="B768" s="93"/>
      <c r="C768" s="93"/>
      <c r="D768" s="93"/>
      <c r="E768" s="93"/>
      <c r="F768" s="93"/>
      <c r="G768" s="94"/>
      <c r="H768" s="9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x14ac:dyDescent="0.35">
      <c r="A769" s="7"/>
      <c r="B769" s="93"/>
      <c r="C769" s="93"/>
      <c r="D769" s="93"/>
      <c r="E769" s="93"/>
      <c r="F769" s="93"/>
      <c r="G769" s="94"/>
      <c r="H769" s="9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x14ac:dyDescent="0.35">
      <c r="A770" s="7"/>
      <c r="B770" s="93"/>
      <c r="C770" s="93"/>
      <c r="D770" s="93"/>
      <c r="E770" s="93"/>
      <c r="F770" s="93"/>
      <c r="G770" s="94"/>
      <c r="H770" s="9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x14ac:dyDescent="0.35">
      <c r="A771" s="7"/>
      <c r="B771" s="93"/>
      <c r="C771" s="93"/>
      <c r="D771" s="93"/>
      <c r="E771" s="93"/>
      <c r="F771" s="93"/>
      <c r="G771" s="94"/>
      <c r="H771" s="9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x14ac:dyDescent="0.35">
      <c r="A772" s="7"/>
      <c r="B772" s="93"/>
      <c r="C772" s="93"/>
      <c r="D772" s="93"/>
      <c r="E772" s="93"/>
      <c r="F772" s="93"/>
      <c r="G772" s="94"/>
      <c r="H772" s="9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x14ac:dyDescent="0.35">
      <c r="A773" s="7"/>
      <c r="B773" s="93"/>
      <c r="C773" s="93"/>
      <c r="D773" s="93"/>
      <c r="E773" s="93"/>
      <c r="F773" s="93"/>
      <c r="G773" s="94"/>
      <c r="H773" s="9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x14ac:dyDescent="0.35">
      <c r="A774" s="7"/>
      <c r="B774" s="93"/>
      <c r="C774" s="93"/>
      <c r="D774" s="93"/>
      <c r="E774" s="93"/>
      <c r="F774" s="93"/>
      <c r="G774" s="94"/>
      <c r="H774" s="9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x14ac:dyDescent="0.35">
      <c r="A775" s="7"/>
      <c r="B775" s="93"/>
      <c r="C775" s="93"/>
      <c r="D775" s="93"/>
      <c r="E775" s="93"/>
      <c r="F775" s="93"/>
      <c r="G775" s="94"/>
      <c r="H775" s="9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x14ac:dyDescent="0.35">
      <c r="A776" s="7"/>
      <c r="B776" s="93"/>
      <c r="C776" s="93"/>
      <c r="D776" s="93"/>
      <c r="E776" s="93"/>
      <c r="F776" s="93"/>
      <c r="G776" s="94"/>
      <c r="H776" s="9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x14ac:dyDescent="0.35">
      <c r="A777" s="7"/>
      <c r="B777" s="93"/>
      <c r="C777" s="93"/>
      <c r="D777" s="93"/>
      <c r="E777" s="93"/>
      <c r="F777" s="93"/>
      <c r="G777" s="94"/>
      <c r="H777" s="9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x14ac:dyDescent="0.35">
      <c r="A778" s="7"/>
      <c r="B778" s="93"/>
      <c r="C778" s="93"/>
      <c r="D778" s="93"/>
      <c r="E778" s="93"/>
      <c r="F778" s="93"/>
      <c r="G778" s="94"/>
      <c r="H778" s="9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x14ac:dyDescent="0.35">
      <c r="A779" s="7"/>
      <c r="B779" s="93"/>
      <c r="C779" s="93"/>
      <c r="D779" s="93"/>
      <c r="E779" s="93"/>
      <c r="F779" s="93"/>
      <c r="G779" s="94"/>
      <c r="H779" s="9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x14ac:dyDescent="0.35">
      <c r="A780" s="7"/>
      <c r="B780" s="93"/>
      <c r="C780" s="93"/>
      <c r="D780" s="93"/>
      <c r="E780" s="93"/>
      <c r="F780" s="93"/>
      <c r="G780" s="94"/>
      <c r="H780" s="9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x14ac:dyDescent="0.35">
      <c r="A781" s="7"/>
      <c r="B781" s="93"/>
      <c r="C781" s="93"/>
      <c r="D781" s="93"/>
      <c r="E781" s="93"/>
      <c r="F781" s="93"/>
      <c r="G781" s="94"/>
      <c r="H781" s="9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x14ac:dyDescent="0.35">
      <c r="A782" s="7"/>
      <c r="B782" s="93"/>
      <c r="C782" s="93"/>
      <c r="D782" s="93"/>
      <c r="E782" s="93"/>
      <c r="F782" s="93"/>
      <c r="G782" s="94"/>
      <c r="H782" s="9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x14ac:dyDescent="0.35">
      <c r="A783" s="7"/>
      <c r="B783" s="93"/>
      <c r="C783" s="93"/>
      <c r="D783" s="93"/>
      <c r="E783" s="93"/>
      <c r="F783" s="93"/>
      <c r="G783" s="94"/>
      <c r="H783" s="9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x14ac:dyDescent="0.35">
      <c r="A784" s="7"/>
      <c r="B784" s="93"/>
      <c r="C784" s="93"/>
      <c r="D784" s="93"/>
      <c r="E784" s="93"/>
      <c r="F784" s="93"/>
      <c r="G784" s="94"/>
      <c r="H784" s="9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x14ac:dyDescent="0.35">
      <c r="A785" s="7"/>
      <c r="B785" s="93"/>
      <c r="C785" s="93"/>
      <c r="D785" s="93"/>
      <c r="E785" s="93"/>
      <c r="F785" s="93"/>
      <c r="G785" s="94"/>
      <c r="H785" s="9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x14ac:dyDescent="0.35">
      <c r="A786" s="7"/>
      <c r="B786" s="93"/>
      <c r="C786" s="93"/>
      <c r="D786" s="93"/>
      <c r="E786" s="93"/>
      <c r="F786" s="93"/>
      <c r="G786" s="94"/>
      <c r="H786" s="9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x14ac:dyDescent="0.35">
      <c r="A787" s="7"/>
      <c r="B787" s="93"/>
      <c r="C787" s="93"/>
      <c r="D787" s="93"/>
      <c r="E787" s="93"/>
      <c r="F787" s="93"/>
      <c r="G787" s="94"/>
      <c r="H787" s="9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x14ac:dyDescent="0.35">
      <c r="A788" s="7"/>
      <c r="B788" s="93"/>
      <c r="C788" s="93"/>
      <c r="D788" s="93"/>
      <c r="E788" s="93"/>
      <c r="F788" s="93"/>
      <c r="G788" s="94"/>
      <c r="H788" s="9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x14ac:dyDescent="0.35">
      <c r="A789" s="7"/>
      <c r="B789" s="93"/>
      <c r="C789" s="93"/>
      <c r="D789" s="93"/>
      <c r="E789" s="93"/>
      <c r="F789" s="93"/>
      <c r="G789" s="94"/>
      <c r="H789" s="9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x14ac:dyDescent="0.35">
      <c r="A790" s="7"/>
      <c r="B790" s="93"/>
      <c r="C790" s="93"/>
      <c r="D790" s="93"/>
      <c r="E790" s="93"/>
      <c r="F790" s="93"/>
      <c r="G790" s="94"/>
      <c r="H790" s="9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x14ac:dyDescent="0.35">
      <c r="A791" s="7"/>
      <c r="B791" s="93"/>
      <c r="C791" s="93"/>
      <c r="D791" s="93"/>
      <c r="E791" s="93"/>
      <c r="F791" s="93"/>
      <c r="G791" s="94"/>
      <c r="H791" s="9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x14ac:dyDescent="0.35">
      <c r="A792" s="7"/>
      <c r="B792" s="93"/>
      <c r="C792" s="93"/>
      <c r="D792" s="93"/>
      <c r="E792" s="93"/>
      <c r="F792" s="93"/>
      <c r="G792" s="94"/>
      <c r="H792" s="9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x14ac:dyDescent="0.35">
      <c r="A793" s="7"/>
      <c r="B793" s="93"/>
      <c r="C793" s="93"/>
      <c r="D793" s="93"/>
      <c r="E793" s="93"/>
      <c r="F793" s="93"/>
      <c r="G793" s="94"/>
      <c r="H793" s="9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x14ac:dyDescent="0.35">
      <c r="A794" s="7"/>
      <c r="B794" s="93"/>
      <c r="C794" s="93"/>
      <c r="D794" s="93"/>
      <c r="E794" s="93"/>
      <c r="F794" s="93"/>
      <c r="G794" s="94"/>
      <c r="H794" s="9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x14ac:dyDescent="0.35">
      <c r="A795" s="7"/>
      <c r="B795" s="93"/>
      <c r="C795" s="93"/>
      <c r="D795" s="93"/>
      <c r="E795" s="93"/>
      <c r="F795" s="93"/>
      <c r="G795" s="94"/>
      <c r="H795" s="9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x14ac:dyDescent="0.35">
      <c r="A796" s="7"/>
      <c r="B796" s="93"/>
      <c r="C796" s="93"/>
      <c r="D796" s="93"/>
      <c r="E796" s="93"/>
      <c r="F796" s="93"/>
      <c r="G796" s="94"/>
      <c r="H796" s="9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x14ac:dyDescent="0.35">
      <c r="A797" s="7"/>
      <c r="B797" s="93"/>
      <c r="C797" s="93"/>
      <c r="D797" s="93"/>
      <c r="E797" s="93"/>
      <c r="F797" s="93"/>
      <c r="G797" s="94"/>
      <c r="H797" s="9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x14ac:dyDescent="0.35">
      <c r="A798" s="7"/>
      <c r="B798" s="93"/>
      <c r="C798" s="93"/>
      <c r="D798" s="93"/>
      <c r="E798" s="93"/>
      <c r="F798" s="93"/>
      <c r="G798" s="94"/>
      <c r="H798" s="9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x14ac:dyDescent="0.35">
      <c r="A799" s="7"/>
      <c r="B799" s="93"/>
      <c r="C799" s="93"/>
      <c r="D799" s="93"/>
      <c r="E799" s="93"/>
      <c r="F799" s="93"/>
      <c r="G799" s="94"/>
      <c r="H799" s="9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x14ac:dyDescent="0.35">
      <c r="A800" s="7"/>
      <c r="B800" s="93"/>
      <c r="C800" s="93"/>
      <c r="D800" s="93"/>
      <c r="E800" s="93"/>
      <c r="F800" s="93"/>
      <c r="G800" s="94"/>
      <c r="H800" s="9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x14ac:dyDescent="0.35">
      <c r="A801" s="7"/>
      <c r="B801" s="93"/>
      <c r="C801" s="93"/>
      <c r="D801" s="93"/>
      <c r="E801" s="93"/>
      <c r="F801" s="93"/>
      <c r="G801" s="94"/>
      <c r="H801" s="9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x14ac:dyDescent="0.35">
      <c r="A802" s="7"/>
      <c r="B802" s="93"/>
      <c r="C802" s="93"/>
      <c r="D802" s="93"/>
      <c r="E802" s="93"/>
      <c r="F802" s="93"/>
      <c r="G802" s="94"/>
      <c r="H802" s="9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x14ac:dyDescent="0.35">
      <c r="A803" s="7"/>
      <c r="B803" s="93"/>
      <c r="C803" s="93"/>
      <c r="D803" s="93"/>
      <c r="E803" s="93"/>
      <c r="F803" s="93"/>
      <c r="G803" s="94"/>
      <c r="H803" s="9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x14ac:dyDescent="0.35">
      <c r="A804" s="7"/>
      <c r="B804" s="93"/>
      <c r="C804" s="93"/>
      <c r="D804" s="93"/>
      <c r="E804" s="93"/>
      <c r="F804" s="93"/>
      <c r="G804" s="94"/>
      <c r="H804" s="9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x14ac:dyDescent="0.35">
      <c r="A805" s="7"/>
      <c r="B805" s="93"/>
      <c r="C805" s="93"/>
      <c r="D805" s="93"/>
      <c r="E805" s="93"/>
      <c r="F805" s="93"/>
      <c r="G805" s="94"/>
      <c r="H805" s="9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x14ac:dyDescent="0.35">
      <c r="A806" s="7"/>
      <c r="B806" s="93"/>
      <c r="C806" s="93"/>
      <c r="D806" s="93"/>
      <c r="E806" s="93"/>
      <c r="F806" s="93"/>
      <c r="G806" s="94"/>
      <c r="H806" s="9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x14ac:dyDescent="0.35">
      <c r="A807" s="7"/>
      <c r="B807" s="93"/>
      <c r="C807" s="93"/>
      <c r="D807" s="93"/>
      <c r="E807" s="93"/>
      <c r="F807" s="93"/>
      <c r="G807" s="94"/>
      <c r="H807" s="9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x14ac:dyDescent="0.35">
      <c r="A808" s="7"/>
      <c r="B808" s="93"/>
      <c r="C808" s="93"/>
      <c r="D808" s="93"/>
      <c r="E808" s="93"/>
      <c r="F808" s="93"/>
      <c r="G808" s="94"/>
      <c r="H808" s="9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x14ac:dyDescent="0.35">
      <c r="A809" s="7"/>
      <c r="B809" s="93"/>
      <c r="C809" s="93"/>
      <c r="D809" s="93"/>
      <c r="E809" s="93"/>
      <c r="F809" s="93"/>
      <c r="G809" s="94"/>
      <c r="H809" s="9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x14ac:dyDescent="0.35">
      <c r="A810" s="7"/>
      <c r="B810" s="93"/>
      <c r="C810" s="93"/>
      <c r="D810" s="93"/>
      <c r="E810" s="93"/>
      <c r="F810" s="93"/>
      <c r="G810" s="94"/>
      <c r="H810" s="9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x14ac:dyDescent="0.35">
      <c r="A811" s="7"/>
      <c r="B811" s="93"/>
      <c r="C811" s="93"/>
      <c r="D811" s="93"/>
      <c r="E811" s="93"/>
      <c r="F811" s="93"/>
      <c r="G811" s="94"/>
      <c r="H811" s="9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x14ac:dyDescent="0.35">
      <c r="A812" s="7"/>
      <c r="B812" s="93"/>
      <c r="C812" s="93"/>
      <c r="D812" s="93"/>
      <c r="E812" s="93"/>
      <c r="F812" s="93"/>
      <c r="G812" s="94"/>
      <c r="H812" s="9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x14ac:dyDescent="0.35">
      <c r="A813" s="7"/>
      <c r="B813" s="93"/>
      <c r="C813" s="93"/>
      <c r="D813" s="93"/>
      <c r="E813" s="93"/>
      <c r="F813" s="93"/>
      <c r="G813" s="94"/>
      <c r="H813" s="9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x14ac:dyDescent="0.35">
      <c r="A814" s="7"/>
      <c r="B814" s="93"/>
      <c r="C814" s="93"/>
      <c r="D814" s="93"/>
      <c r="E814" s="93"/>
      <c r="F814" s="93"/>
      <c r="G814" s="94"/>
      <c r="H814" s="9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x14ac:dyDescent="0.35">
      <c r="A815" s="7"/>
      <c r="B815" s="93"/>
      <c r="C815" s="93"/>
      <c r="D815" s="93"/>
      <c r="E815" s="93"/>
      <c r="F815" s="93"/>
      <c r="G815" s="94"/>
      <c r="H815" s="9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x14ac:dyDescent="0.35">
      <c r="A816" s="7"/>
      <c r="B816" s="93"/>
      <c r="C816" s="93"/>
      <c r="D816" s="93"/>
      <c r="E816" s="93"/>
      <c r="F816" s="93"/>
      <c r="G816" s="94"/>
      <c r="H816" s="9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x14ac:dyDescent="0.35">
      <c r="A817" s="7"/>
      <c r="B817" s="93"/>
      <c r="C817" s="93"/>
      <c r="D817" s="93"/>
      <c r="E817" s="93"/>
      <c r="F817" s="93"/>
      <c r="G817" s="94"/>
      <c r="H817" s="9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x14ac:dyDescent="0.35">
      <c r="A818" s="7"/>
      <c r="B818" s="93"/>
      <c r="C818" s="93"/>
      <c r="D818" s="93"/>
      <c r="E818" s="93"/>
      <c r="F818" s="93"/>
      <c r="G818" s="94"/>
      <c r="H818" s="9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x14ac:dyDescent="0.35">
      <c r="A819" s="7"/>
      <c r="B819" s="93"/>
      <c r="C819" s="93"/>
      <c r="D819" s="93"/>
      <c r="E819" s="93"/>
      <c r="F819" s="93"/>
      <c r="G819" s="94"/>
      <c r="H819" s="9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x14ac:dyDescent="0.35">
      <c r="A820" s="7"/>
      <c r="B820" s="93"/>
      <c r="C820" s="93"/>
      <c r="D820" s="93"/>
      <c r="E820" s="93"/>
      <c r="F820" s="93"/>
      <c r="G820" s="94"/>
      <c r="H820" s="9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x14ac:dyDescent="0.35">
      <c r="A821" s="7"/>
      <c r="B821" s="93"/>
      <c r="C821" s="93"/>
      <c r="D821" s="93"/>
      <c r="E821" s="93"/>
      <c r="F821" s="93"/>
      <c r="G821" s="94"/>
      <c r="H821" s="9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x14ac:dyDescent="0.35">
      <c r="A822" s="7"/>
      <c r="B822" s="93"/>
      <c r="C822" s="93"/>
      <c r="D822" s="93"/>
      <c r="E822" s="93"/>
      <c r="F822" s="93"/>
      <c r="G822" s="94"/>
      <c r="H822" s="9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x14ac:dyDescent="0.35">
      <c r="A823" s="7"/>
      <c r="B823" s="93"/>
      <c r="C823" s="93"/>
      <c r="D823" s="93"/>
      <c r="E823" s="93"/>
      <c r="F823" s="93"/>
      <c r="G823" s="94"/>
      <c r="H823" s="9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x14ac:dyDescent="0.35">
      <c r="A824" s="7"/>
      <c r="B824" s="93"/>
      <c r="C824" s="93"/>
      <c r="D824" s="93"/>
      <c r="E824" s="93"/>
      <c r="F824" s="93"/>
      <c r="G824" s="94"/>
      <c r="H824" s="9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x14ac:dyDescent="0.35">
      <c r="A825" s="7"/>
      <c r="B825" s="93"/>
      <c r="C825" s="93"/>
      <c r="D825" s="93"/>
      <c r="E825" s="93"/>
      <c r="F825" s="93"/>
      <c r="G825" s="94"/>
      <c r="H825" s="9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x14ac:dyDescent="0.35">
      <c r="A826" s="7"/>
      <c r="B826" s="93"/>
      <c r="C826" s="93"/>
      <c r="D826" s="93"/>
      <c r="E826" s="93"/>
      <c r="F826" s="93"/>
      <c r="G826" s="94"/>
      <c r="H826" s="9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x14ac:dyDescent="0.35">
      <c r="A827" s="7"/>
      <c r="B827" s="93"/>
      <c r="C827" s="93"/>
      <c r="D827" s="93"/>
      <c r="E827" s="93"/>
      <c r="F827" s="93"/>
      <c r="G827" s="94"/>
      <c r="H827" s="9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x14ac:dyDescent="0.35">
      <c r="A828" s="7"/>
      <c r="B828" s="93"/>
      <c r="C828" s="93"/>
      <c r="D828" s="93"/>
      <c r="E828" s="93"/>
      <c r="F828" s="93"/>
      <c r="G828" s="94"/>
      <c r="H828" s="9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x14ac:dyDescent="0.35">
      <c r="A829" s="7"/>
      <c r="B829" s="93"/>
      <c r="C829" s="93"/>
      <c r="D829" s="93"/>
      <c r="E829" s="93"/>
      <c r="F829" s="93"/>
      <c r="G829" s="94"/>
      <c r="H829" s="9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x14ac:dyDescent="0.35">
      <c r="A830" s="7"/>
      <c r="B830" s="93"/>
      <c r="C830" s="93"/>
      <c r="D830" s="93"/>
      <c r="E830" s="93"/>
      <c r="F830" s="93"/>
      <c r="G830" s="94"/>
      <c r="H830" s="9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x14ac:dyDescent="0.35">
      <c r="A831" s="7"/>
      <c r="B831" s="93"/>
      <c r="C831" s="93"/>
      <c r="D831" s="93"/>
      <c r="E831" s="93"/>
      <c r="F831" s="93"/>
      <c r="G831" s="94"/>
      <c r="H831" s="9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x14ac:dyDescent="0.35">
      <c r="A832" s="7"/>
      <c r="B832" s="93"/>
      <c r="C832" s="93"/>
      <c r="D832" s="93"/>
      <c r="E832" s="93"/>
      <c r="F832" s="93"/>
      <c r="G832" s="94"/>
      <c r="H832" s="9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x14ac:dyDescent="0.35">
      <c r="A833" s="7"/>
      <c r="B833" s="93"/>
      <c r="C833" s="93"/>
      <c r="D833" s="93"/>
      <c r="E833" s="93"/>
      <c r="F833" s="93"/>
      <c r="G833" s="94"/>
      <c r="H833" s="9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x14ac:dyDescent="0.35">
      <c r="A834" s="7"/>
      <c r="B834" s="93"/>
      <c r="C834" s="93"/>
      <c r="D834" s="93"/>
      <c r="E834" s="93"/>
      <c r="F834" s="93"/>
      <c r="G834" s="94"/>
      <c r="H834" s="9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x14ac:dyDescent="0.35">
      <c r="A835" s="7"/>
      <c r="B835" s="93"/>
      <c r="C835" s="93"/>
      <c r="D835" s="93"/>
      <c r="E835" s="93"/>
      <c r="F835" s="93"/>
      <c r="G835" s="94"/>
      <c r="H835" s="9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x14ac:dyDescent="0.35">
      <c r="A836" s="7"/>
      <c r="B836" s="93"/>
      <c r="C836" s="93"/>
      <c r="D836" s="93"/>
      <c r="E836" s="93"/>
      <c r="F836" s="93"/>
      <c r="G836" s="94"/>
      <c r="H836" s="9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x14ac:dyDescent="0.35">
      <c r="A837" s="7"/>
      <c r="B837" s="93"/>
      <c r="C837" s="93"/>
      <c r="D837" s="93"/>
      <c r="E837" s="93"/>
      <c r="F837" s="93"/>
      <c r="G837" s="94"/>
      <c r="H837" s="9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x14ac:dyDescent="0.35">
      <c r="A838" s="7"/>
      <c r="B838" s="93"/>
      <c r="C838" s="93"/>
      <c r="D838" s="93"/>
      <c r="E838" s="93"/>
      <c r="F838" s="93"/>
      <c r="G838" s="94"/>
      <c r="H838" s="9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x14ac:dyDescent="0.35">
      <c r="A839" s="7"/>
      <c r="B839" s="93"/>
      <c r="C839" s="93"/>
      <c r="D839" s="93"/>
      <c r="E839" s="93"/>
      <c r="F839" s="93"/>
      <c r="G839" s="94"/>
      <c r="H839" s="9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x14ac:dyDescent="0.35">
      <c r="A840" s="7"/>
      <c r="B840" s="93"/>
      <c r="C840" s="93"/>
      <c r="D840" s="93"/>
      <c r="E840" s="93"/>
      <c r="F840" s="93"/>
      <c r="G840" s="94"/>
      <c r="H840" s="9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x14ac:dyDescent="0.35">
      <c r="A841" s="7"/>
      <c r="B841" s="93"/>
      <c r="C841" s="93"/>
      <c r="D841" s="93"/>
      <c r="E841" s="93"/>
      <c r="F841" s="93"/>
      <c r="G841" s="94"/>
      <c r="H841" s="9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x14ac:dyDescent="0.35">
      <c r="A842" s="7"/>
      <c r="B842" s="93"/>
      <c r="C842" s="93"/>
      <c r="D842" s="93"/>
      <c r="E842" s="93"/>
      <c r="F842" s="93"/>
      <c r="G842" s="94"/>
      <c r="H842" s="9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x14ac:dyDescent="0.35">
      <c r="A843" s="7"/>
      <c r="B843" s="93"/>
      <c r="C843" s="93"/>
      <c r="D843" s="93"/>
      <c r="E843" s="93"/>
      <c r="F843" s="93"/>
      <c r="G843" s="94"/>
      <c r="H843" s="9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x14ac:dyDescent="0.35">
      <c r="A844" s="7"/>
      <c r="B844" s="93"/>
      <c r="C844" s="93"/>
      <c r="D844" s="93"/>
      <c r="E844" s="93"/>
      <c r="F844" s="93"/>
      <c r="G844" s="94"/>
      <c r="H844" s="9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x14ac:dyDescent="0.35">
      <c r="A845" s="7"/>
      <c r="B845" s="93"/>
      <c r="C845" s="93"/>
      <c r="D845" s="93"/>
      <c r="E845" s="93"/>
      <c r="F845" s="93"/>
      <c r="G845" s="94"/>
      <c r="H845" s="9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x14ac:dyDescent="0.35">
      <c r="A846" s="7"/>
      <c r="B846" s="93"/>
      <c r="C846" s="93"/>
      <c r="D846" s="93"/>
      <c r="E846" s="93"/>
      <c r="F846" s="93"/>
      <c r="G846" s="94"/>
      <c r="H846" s="9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x14ac:dyDescent="0.35">
      <c r="A847" s="7"/>
      <c r="B847" s="93"/>
      <c r="C847" s="93"/>
      <c r="D847" s="93"/>
      <c r="E847" s="93"/>
      <c r="F847" s="93"/>
      <c r="G847" s="94"/>
      <c r="H847" s="9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x14ac:dyDescent="0.35">
      <c r="A848" s="7"/>
      <c r="B848" s="93"/>
      <c r="C848" s="93"/>
      <c r="D848" s="93"/>
      <c r="E848" s="93"/>
      <c r="F848" s="93"/>
      <c r="G848" s="94"/>
      <c r="H848" s="9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x14ac:dyDescent="0.35">
      <c r="A849" s="7"/>
      <c r="B849" s="93"/>
      <c r="C849" s="93"/>
      <c r="D849" s="93"/>
      <c r="E849" s="93"/>
      <c r="F849" s="93"/>
      <c r="G849" s="94"/>
      <c r="H849" s="9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x14ac:dyDescent="0.35">
      <c r="A850" s="7"/>
      <c r="B850" s="93"/>
      <c r="C850" s="93"/>
      <c r="D850" s="93"/>
      <c r="E850" s="93"/>
      <c r="F850" s="93"/>
      <c r="G850" s="94"/>
      <c r="H850" s="9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x14ac:dyDescent="0.35">
      <c r="A851" s="7"/>
      <c r="B851" s="93"/>
      <c r="C851" s="93"/>
      <c r="D851" s="93"/>
      <c r="E851" s="93"/>
      <c r="F851" s="93"/>
      <c r="G851" s="94"/>
      <c r="H851" s="9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x14ac:dyDescent="0.35">
      <c r="A852" s="7"/>
      <c r="B852" s="93"/>
      <c r="C852" s="93"/>
      <c r="D852" s="93"/>
      <c r="E852" s="93"/>
      <c r="F852" s="93"/>
      <c r="G852" s="94"/>
      <c r="H852" s="9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x14ac:dyDescent="0.35">
      <c r="A853" s="7"/>
      <c r="B853" s="93"/>
      <c r="C853" s="93"/>
      <c r="D853" s="93"/>
      <c r="E853" s="93"/>
      <c r="F853" s="93"/>
      <c r="G853" s="94"/>
      <c r="H853" s="9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x14ac:dyDescent="0.35">
      <c r="A854" s="7"/>
      <c r="B854" s="93"/>
      <c r="C854" s="93"/>
      <c r="D854" s="93"/>
      <c r="E854" s="93"/>
      <c r="F854" s="93"/>
      <c r="G854" s="94"/>
      <c r="H854" s="9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x14ac:dyDescent="0.35">
      <c r="A855" s="7"/>
      <c r="B855" s="93"/>
      <c r="C855" s="93"/>
      <c r="D855" s="93"/>
      <c r="E855" s="93"/>
      <c r="F855" s="93"/>
      <c r="G855" s="94"/>
      <c r="H855" s="9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x14ac:dyDescent="0.35">
      <c r="A856" s="7"/>
      <c r="B856" s="93"/>
      <c r="C856" s="93"/>
      <c r="D856" s="93"/>
      <c r="E856" s="93"/>
      <c r="F856" s="93"/>
      <c r="G856" s="94"/>
      <c r="H856" s="9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x14ac:dyDescent="0.35">
      <c r="A857" s="7"/>
      <c r="B857" s="93"/>
      <c r="C857" s="93"/>
      <c r="D857" s="93"/>
      <c r="E857" s="93"/>
      <c r="F857" s="93"/>
      <c r="G857" s="94"/>
      <c r="H857" s="9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x14ac:dyDescent="0.35">
      <c r="A858" s="7"/>
      <c r="B858" s="93"/>
      <c r="C858" s="93"/>
      <c r="D858" s="93"/>
      <c r="E858" s="93"/>
      <c r="F858" s="93"/>
      <c r="G858" s="94"/>
      <c r="H858" s="9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x14ac:dyDescent="0.35">
      <c r="A859" s="7"/>
      <c r="B859" s="93"/>
      <c r="C859" s="93"/>
      <c r="D859" s="93"/>
      <c r="E859" s="93"/>
      <c r="F859" s="93"/>
      <c r="G859" s="94"/>
      <c r="H859" s="9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x14ac:dyDescent="0.35">
      <c r="A860" s="7"/>
      <c r="B860" s="93"/>
      <c r="C860" s="93"/>
      <c r="D860" s="93"/>
      <c r="E860" s="93"/>
      <c r="F860" s="93"/>
      <c r="G860" s="94"/>
      <c r="H860" s="9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x14ac:dyDescent="0.35">
      <c r="A861" s="7"/>
      <c r="B861" s="93"/>
      <c r="C861" s="93"/>
      <c r="D861" s="93"/>
      <c r="E861" s="93"/>
      <c r="F861" s="93"/>
      <c r="G861" s="94"/>
      <c r="H861" s="9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x14ac:dyDescent="0.35">
      <c r="A862" s="7"/>
      <c r="B862" s="93"/>
      <c r="C862" s="93"/>
      <c r="D862" s="93"/>
      <c r="E862" s="93"/>
      <c r="F862" s="93"/>
      <c r="G862" s="94"/>
      <c r="H862" s="9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x14ac:dyDescent="0.35">
      <c r="A863" s="7"/>
      <c r="B863" s="93"/>
      <c r="C863" s="93"/>
      <c r="D863" s="93"/>
      <c r="E863" s="93"/>
      <c r="F863" s="93"/>
      <c r="G863" s="94"/>
      <c r="H863" s="9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x14ac:dyDescent="0.35">
      <c r="A864" s="7"/>
      <c r="B864" s="93"/>
      <c r="C864" s="93"/>
      <c r="D864" s="93"/>
      <c r="E864" s="93"/>
      <c r="F864" s="93"/>
      <c r="G864" s="94"/>
      <c r="H864" s="9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x14ac:dyDescent="0.35">
      <c r="A865" s="7"/>
      <c r="B865" s="93"/>
      <c r="C865" s="93"/>
      <c r="D865" s="93"/>
      <c r="E865" s="93"/>
      <c r="F865" s="93"/>
      <c r="G865" s="94"/>
      <c r="H865" s="9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x14ac:dyDescent="0.35">
      <c r="A866" s="7"/>
      <c r="B866" s="93"/>
      <c r="C866" s="93"/>
      <c r="D866" s="93"/>
      <c r="E866" s="93"/>
      <c r="F866" s="93"/>
      <c r="G866" s="94"/>
      <c r="H866" s="9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x14ac:dyDescent="0.35">
      <c r="A867" s="7"/>
      <c r="B867" s="93"/>
      <c r="C867" s="93"/>
      <c r="D867" s="93"/>
      <c r="E867" s="93"/>
      <c r="F867" s="93"/>
      <c r="G867" s="94"/>
      <c r="H867" s="9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x14ac:dyDescent="0.35">
      <c r="A868" s="7"/>
      <c r="B868" s="93"/>
      <c r="C868" s="93"/>
      <c r="D868" s="93"/>
      <c r="E868" s="93"/>
      <c r="F868" s="93"/>
      <c r="G868" s="94"/>
      <c r="H868" s="9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x14ac:dyDescent="0.35">
      <c r="A869" s="7"/>
      <c r="B869" s="93"/>
      <c r="C869" s="93"/>
      <c r="D869" s="93"/>
      <c r="E869" s="93"/>
      <c r="F869" s="93"/>
      <c r="G869" s="94"/>
      <c r="H869" s="9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x14ac:dyDescent="0.35">
      <c r="A870" s="7"/>
      <c r="B870" s="93"/>
      <c r="C870" s="93"/>
      <c r="D870" s="93"/>
      <c r="E870" s="93"/>
      <c r="F870" s="93"/>
      <c r="G870" s="94"/>
      <c r="H870" s="9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x14ac:dyDescent="0.35">
      <c r="A871" s="7"/>
      <c r="B871" s="93"/>
      <c r="C871" s="93"/>
      <c r="D871" s="93"/>
      <c r="E871" s="93"/>
      <c r="F871" s="93"/>
      <c r="G871" s="94"/>
      <c r="H871" s="9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x14ac:dyDescent="0.35">
      <c r="A872" s="7"/>
      <c r="B872" s="93"/>
      <c r="C872" s="93"/>
      <c r="D872" s="93"/>
      <c r="E872" s="93"/>
      <c r="F872" s="93"/>
      <c r="G872" s="94"/>
      <c r="H872" s="9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x14ac:dyDescent="0.35">
      <c r="A873" s="7"/>
      <c r="B873" s="93"/>
      <c r="C873" s="93"/>
      <c r="D873" s="93"/>
      <c r="E873" s="93"/>
      <c r="F873" s="93"/>
      <c r="G873" s="94"/>
      <c r="H873" s="9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x14ac:dyDescent="0.35">
      <c r="A874" s="7"/>
      <c r="B874" s="93"/>
      <c r="C874" s="93"/>
      <c r="D874" s="93"/>
      <c r="E874" s="93"/>
      <c r="F874" s="93"/>
      <c r="G874" s="94"/>
      <c r="H874" s="9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x14ac:dyDescent="0.35">
      <c r="A875" s="7"/>
      <c r="B875" s="93"/>
      <c r="C875" s="93"/>
      <c r="D875" s="93"/>
      <c r="E875" s="93"/>
      <c r="F875" s="93"/>
      <c r="G875" s="94"/>
      <c r="H875" s="9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x14ac:dyDescent="0.35">
      <c r="A876" s="7"/>
      <c r="B876" s="93"/>
      <c r="C876" s="93"/>
      <c r="D876" s="93"/>
      <c r="E876" s="93"/>
      <c r="F876" s="93"/>
      <c r="G876" s="94"/>
      <c r="H876" s="9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x14ac:dyDescent="0.35">
      <c r="A877" s="7"/>
      <c r="B877" s="93"/>
      <c r="C877" s="93"/>
      <c r="D877" s="93"/>
      <c r="E877" s="93"/>
      <c r="F877" s="93"/>
      <c r="G877" s="94"/>
      <c r="H877" s="9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x14ac:dyDescent="0.35">
      <c r="A878" s="7"/>
      <c r="B878" s="93"/>
      <c r="C878" s="93"/>
      <c r="D878" s="93"/>
      <c r="E878" s="93"/>
      <c r="F878" s="93"/>
      <c r="G878" s="94"/>
      <c r="H878" s="9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x14ac:dyDescent="0.35">
      <c r="A879" s="7"/>
      <c r="B879" s="93"/>
      <c r="C879" s="93"/>
      <c r="D879" s="93"/>
      <c r="E879" s="93"/>
      <c r="F879" s="93"/>
      <c r="G879" s="94"/>
      <c r="H879" s="9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x14ac:dyDescent="0.35">
      <c r="A880" s="7"/>
      <c r="B880" s="93"/>
      <c r="C880" s="93"/>
      <c r="D880" s="93"/>
      <c r="E880" s="93"/>
      <c r="F880" s="93"/>
      <c r="G880" s="94"/>
      <c r="H880" s="9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x14ac:dyDescent="0.35">
      <c r="A881" s="7"/>
      <c r="B881" s="93"/>
      <c r="C881" s="93"/>
      <c r="D881" s="93"/>
      <c r="E881" s="93"/>
      <c r="F881" s="93"/>
      <c r="G881" s="94"/>
      <c r="H881" s="9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x14ac:dyDescent="0.35">
      <c r="A882" s="7"/>
      <c r="B882" s="93"/>
      <c r="C882" s="93"/>
      <c r="D882" s="93"/>
      <c r="E882" s="93"/>
      <c r="F882" s="93"/>
      <c r="G882" s="94"/>
      <c r="H882" s="9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x14ac:dyDescent="0.35">
      <c r="A883" s="7"/>
      <c r="B883" s="93"/>
      <c r="C883" s="93"/>
      <c r="D883" s="93"/>
      <c r="E883" s="93"/>
      <c r="F883" s="93"/>
      <c r="G883" s="94"/>
      <c r="H883" s="9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x14ac:dyDescent="0.35">
      <c r="A884" s="7"/>
      <c r="B884" s="93"/>
      <c r="C884" s="93"/>
      <c r="D884" s="93"/>
      <c r="E884" s="93"/>
      <c r="F884" s="93"/>
      <c r="G884" s="94"/>
      <c r="H884" s="9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x14ac:dyDescent="0.35">
      <c r="A885" s="7"/>
      <c r="B885" s="93"/>
      <c r="C885" s="93"/>
      <c r="D885" s="93"/>
      <c r="E885" s="93"/>
      <c r="F885" s="93"/>
      <c r="G885" s="94"/>
      <c r="H885" s="9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x14ac:dyDescent="0.35">
      <c r="A886" s="7"/>
      <c r="B886" s="93"/>
      <c r="C886" s="93"/>
      <c r="D886" s="93"/>
      <c r="E886" s="93"/>
      <c r="F886" s="93"/>
      <c r="G886" s="94"/>
      <c r="H886" s="9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x14ac:dyDescent="0.35">
      <c r="A887" s="7"/>
      <c r="B887" s="93"/>
      <c r="C887" s="93"/>
      <c r="D887" s="93"/>
      <c r="E887" s="93"/>
      <c r="F887" s="93"/>
      <c r="G887" s="94"/>
      <c r="H887" s="9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x14ac:dyDescent="0.35">
      <c r="A888" s="7"/>
      <c r="B888" s="93"/>
      <c r="C888" s="93"/>
      <c r="D888" s="93"/>
      <c r="E888" s="93"/>
      <c r="F888" s="93"/>
      <c r="G888" s="94"/>
      <c r="H888" s="9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x14ac:dyDescent="0.35">
      <c r="A889" s="7"/>
      <c r="B889" s="93"/>
      <c r="C889" s="93"/>
      <c r="D889" s="93"/>
      <c r="E889" s="93"/>
      <c r="F889" s="93"/>
      <c r="G889" s="94"/>
      <c r="H889" s="9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x14ac:dyDescent="0.35">
      <c r="A890" s="7"/>
      <c r="B890" s="93"/>
      <c r="C890" s="93"/>
      <c r="D890" s="93"/>
      <c r="E890" s="93"/>
      <c r="F890" s="93"/>
      <c r="G890" s="94"/>
      <c r="H890" s="9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x14ac:dyDescent="0.35">
      <c r="A891" s="7"/>
      <c r="B891" s="93"/>
      <c r="C891" s="93"/>
      <c r="D891" s="93"/>
      <c r="E891" s="93"/>
      <c r="F891" s="93"/>
      <c r="G891" s="94"/>
      <c r="H891" s="9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x14ac:dyDescent="0.35">
      <c r="A892" s="7"/>
      <c r="B892" s="93"/>
      <c r="C892" s="93"/>
      <c r="D892" s="93"/>
      <c r="E892" s="93"/>
      <c r="F892" s="93"/>
      <c r="G892" s="94"/>
      <c r="H892" s="9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x14ac:dyDescent="0.35">
      <c r="A893" s="7"/>
      <c r="B893" s="93"/>
      <c r="C893" s="93"/>
      <c r="D893" s="93"/>
      <c r="E893" s="93"/>
      <c r="F893" s="93"/>
      <c r="G893" s="94"/>
      <c r="H893" s="9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x14ac:dyDescent="0.35">
      <c r="A894" s="7"/>
      <c r="B894" s="93"/>
      <c r="C894" s="93"/>
      <c r="D894" s="93"/>
      <c r="E894" s="93"/>
      <c r="F894" s="93"/>
      <c r="G894" s="94"/>
      <c r="H894" s="9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x14ac:dyDescent="0.35">
      <c r="A895" s="7"/>
      <c r="B895" s="93"/>
      <c r="C895" s="93"/>
      <c r="D895" s="93"/>
      <c r="E895" s="93"/>
      <c r="F895" s="93"/>
      <c r="G895" s="94"/>
      <c r="H895" s="9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x14ac:dyDescent="0.35">
      <c r="A896" s="7"/>
      <c r="B896" s="93"/>
      <c r="C896" s="93"/>
      <c r="D896" s="93"/>
      <c r="E896" s="93"/>
      <c r="F896" s="93"/>
      <c r="G896" s="94"/>
      <c r="H896" s="9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x14ac:dyDescent="0.35">
      <c r="A897" s="7"/>
      <c r="B897" s="93"/>
      <c r="C897" s="93"/>
      <c r="D897" s="93"/>
      <c r="E897" s="93"/>
      <c r="F897" s="93"/>
      <c r="G897" s="94"/>
      <c r="H897" s="9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x14ac:dyDescent="0.35">
      <c r="A898" s="7"/>
      <c r="B898" s="93"/>
      <c r="C898" s="93"/>
      <c r="D898" s="93"/>
      <c r="E898" s="93"/>
      <c r="F898" s="93"/>
      <c r="G898" s="94"/>
      <c r="H898" s="9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x14ac:dyDescent="0.35">
      <c r="A899" s="7"/>
      <c r="B899" s="93"/>
      <c r="C899" s="93"/>
      <c r="D899" s="93"/>
      <c r="E899" s="93"/>
      <c r="F899" s="93"/>
      <c r="G899" s="94"/>
      <c r="H899" s="9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x14ac:dyDescent="0.35">
      <c r="A900" s="7"/>
      <c r="B900" s="93"/>
      <c r="C900" s="93"/>
      <c r="D900" s="93"/>
      <c r="E900" s="93"/>
      <c r="F900" s="93"/>
      <c r="G900" s="94"/>
      <c r="H900" s="9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x14ac:dyDescent="0.35">
      <c r="A901" s="7"/>
      <c r="B901" s="93"/>
      <c r="C901" s="93"/>
      <c r="D901" s="93"/>
      <c r="E901" s="93"/>
      <c r="F901" s="93"/>
      <c r="G901" s="94"/>
      <c r="H901" s="9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x14ac:dyDescent="0.35">
      <c r="A902" s="7"/>
      <c r="B902" s="93"/>
      <c r="C902" s="93"/>
      <c r="D902" s="93"/>
      <c r="E902" s="93"/>
      <c r="F902" s="93"/>
      <c r="G902" s="94"/>
      <c r="H902" s="9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x14ac:dyDescent="0.35">
      <c r="A903" s="7"/>
      <c r="B903" s="93"/>
      <c r="C903" s="93"/>
      <c r="D903" s="93"/>
      <c r="E903" s="93"/>
      <c r="F903" s="93"/>
      <c r="G903" s="94"/>
      <c r="H903" s="9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x14ac:dyDescent="0.35">
      <c r="A904" s="7"/>
      <c r="B904" s="93"/>
      <c r="C904" s="93"/>
      <c r="D904" s="93"/>
      <c r="E904" s="93"/>
      <c r="F904" s="93"/>
      <c r="G904" s="94"/>
      <c r="H904" s="9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x14ac:dyDescent="0.35">
      <c r="A905" s="7"/>
      <c r="B905" s="93"/>
      <c r="C905" s="93"/>
      <c r="D905" s="93"/>
      <c r="E905" s="93"/>
      <c r="F905" s="93"/>
      <c r="G905" s="94"/>
      <c r="H905" s="9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x14ac:dyDescent="0.35">
      <c r="A906" s="7"/>
      <c r="B906" s="93"/>
      <c r="C906" s="93"/>
      <c r="D906" s="93"/>
      <c r="E906" s="93"/>
      <c r="F906" s="93"/>
      <c r="G906" s="94"/>
      <c r="H906" s="9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x14ac:dyDescent="0.35">
      <c r="A907" s="7"/>
      <c r="B907" s="93"/>
      <c r="C907" s="93"/>
      <c r="D907" s="93"/>
      <c r="E907" s="93"/>
      <c r="F907" s="93"/>
      <c r="G907" s="94"/>
      <c r="H907" s="9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x14ac:dyDescent="0.35">
      <c r="A908" s="7"/>
      <c r="B908" s="93"/>
      <c r="C908" s="93"/>
      <c r="D908" s="93"/>
      <c r="E908" s="93"/>
      <c r="F908" s="93"/>
      <c r="G908" s="94"/>
      <c r="H908" s="9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x14ac:dyDescent="0.35">
      <c r="A909" s="7"/>
      <c r="B909" s="93"/>
      <c r="C909" s="93"/>
      <c r="D909" s="93"/>
      <c r="E909" s="93"/>
      <c r="F909" s="93"/>
      <c r="G909" s="94"/>
      <c r="H909" s="9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x14ac:dyDescent="0.35">
      <c r="A910" s="7"/>
      <c r="B910" s="93"/>
      <c r="C910" s="93"/>
      <c r="D910" s="93"/>
      <c r="E910" s="93"/>
      <c r="F910" s="93"/>
      <c r="G910" s="94"/>
      <c r="H910" s="9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x14ac:dyDescent="0.35">
      <c r="A911" s="7"/>
      <c r="B911" s="93"/>
      <c r="C911" s="93"/>
      <c r="D911" s="93"/>
      <c r="E911" s="93"/>
      <c r="F911" s="93"/>
      <c r="G911" s="94"/>
      <c r="H911" s="9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x14ac:dyDescent="0.35">
      <c r="A912" s="7"/>
      <c r="B912" s="93"/>
      <c r="C912" s="93"/>
      <c r="D912" s="93"/>
      <c r="E912" s="93"/>
      <c r="F912" s="93"/>
      <c r="G912" s="94"/>
      <c r="H912" s="9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x14ac:dyDescent="0.35">
      <c r="A913" s="7"/>
      <c r="B913" s="93"/>
      <c r="C913" s="93"/>
      <c r="D913" s="93"/>
      <c r="E913" s="93"/>
      <c r="F913" s="93"/>
      <c r="G913" s="94"/>
      <c r="H913" s="9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x14ac:dyDescent="0.35">
      <c r="A914" s="7"/>
      <c r="B914" s="93"/>
      <c r="C914" s="93"/>
      <c r="D914" s="93"/>
      <c r="E914" s="93"/>
      <c r="F914" s="93"/>
      <c r="G914" s="94"/>
      <c r="H914" s="9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x14ac:dyDescent="0.35">
      <c r="A915" s="7"/>
      <c r="B915" s="93"/>
      <c r="C915" s="93"/>
      <c r="D915" s="93"/>
      <c r="E915" s="93"/>
      <c r="F915" s="93"/>
      <c r="G915" s="94"/>
      <c r="H915" s="9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x14ac:dyDescent="0.35">
      <c r="A916" s="7"/>
      <c r="B916" s="93"/>
      <c r="C916" s="93"/>
      <c r="D916" s="93"/>
      <c r="E916" s="93"/>
      <c r="F916" s="93"/>
      <c r="G916" s="94"/>
      <c r="H916" s="9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x14ac:dyDescent="0.35">
      <c r="A917" s="7"/>
      <c r="B917" s="93"/>
      <c r="C917" s="93"/>
      <c r="D917" s="93"/>
      <c r="E917" s="93"/>
      <c r="F917" s="93"/>
      <c r="G917" s="94"/>
      <c r="H917" s="9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x14ac:dyDescent="0.35">
      <c r="A918" s="7"/>
      <c r="B918" s="93"/>
      <c r="C918" s="93"/>
      <c r="D918" s="93"/>
      <c r="E918" s="93"/>
      <c r="F918" s="93"/>
      <c r="G918" s="94"/>
      <c r="H918" s="9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x14ac:dyDescent="0.35">
      <c r="A919" s="7"/>
      <c r="B919" s="93"/>
      <c r="C919" s="93"/>
      <c r="D919" s="93"/>
      <c r="E919" s="93"/>
      <c r="F919" s="93"/>
      <c r="G919" s="94"/>
      <c r="H919" s="9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x14ac:dyDescent="0.35">
      <c r="A920" s="7"/>
      <c r="B920" s="93"/>
      <c r="C920" s="93"/>
      <c r="D920" s="93"/>
      <c r="E920" s="93"/>
      <c r="F920" s="93"/>
      <c r="G920" s="94"/>
      <c r="H920" s="9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x14ac:dyDescent="0.35">
      <c r="A921" s="7"/>
      <c r="B921" s="93"/>
      <c r="C921" s="93"/>
      <c r="D921" s="93"/>
      <c r="E921" s="93"/>
      <c r="F921" s="93"/>
      <c r="G921" s="94"/>
      <c r="H921" s="9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x14ac:dyDescent="0.35">
      <c r="A922" s="7"/>
      <c r="B922" s="93"/>
      <c r="C922" s="93"/>
      <c r="D922" s="93"/>
      <c r="E922" s="93"/>
      <c r="F922" s="93"/>
      <c r="G922" s="94"/>
      <c r="H922" s="9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x14ac:dyDescent="0.35">
      <c r="A923" s="7"/>
      <c r="B923" s="93"/>
      <c r="C923" s="93"/>
      <c r="D923" s="93"/>
      <c r="E923" s="93"/>
      <c r="F923" s="93"/>
      <c r="G923" s="94"/>
      <c r="H923" s="9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x14ac:dyDescent="0.35">
      <c r="A924" s="7"/>
      <c r="B924" s="93"/>
      <c r="C924" s="93"/>
      <c r="D924" s="93"/>
      <c r="E924" s="93"/>
      <c r="F924" s="93"/>
      <c r="G924" s="94"/>
      <c r="H924" s="9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x14ac:dyDescent="0.35">
      <c r="A925" s="7"/>
      <c r="B925" s="93"/>
      <c r="C925" s="93"/>
      <c r="D925" s="93"/>
      <c r="E925" s="93"/>
      <c r="F925" s="93"/>
      <c r="G925" s="94"/>
      <c r="H925" s="9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x14ac:dyDescent="0.35">
      <c r="A926" s="7"/>
      <c r="B926" s="93"/>
      <c r="C926" s="93"/>
      <c r="D926" s="93"/>
      <c r="E926" s="93"/>
      <c r="F926" s="93"/>
      <c r="G926" s="94"/>
      <c r="H926" s="9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x14ac:dyDescent="0.35">
      <c r="A927" s="7"/>
      <c r="B927" s="93"/>
      <c r="C927" s="93"/>
      <c r="D927" s="93"/>
      <c r="E927" s="93"/>
      <c r="F927" s="93"/>
      <c r="G927" s="94"/>
      <c r="H927" s="9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x14ac:dyDescent="0.35">
      <c r="A928" s="7"/>
      <c r="B928" s="93"/>
      <c r="C928" s="93"/>
      <c r="D928" s="93"/>
      <c r="E928" s="93"/>
      <c r="F928" s="93"/>
      <c r="G928" s="94"/>
      <c r="H928" s="9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x14ac:dyDescent="0.35">
      <c r="A929" s="7"/>
      <c r="B929" s="93"/>
      <c r="C929" s="93"/>
      <c r="D929" s="93"/>
      <c r="E929" s="93"/>
      <c r="F929" s="93"/>
      <c r="G929" s="94"/>
      <c r="H929" s="9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x14ac:dyDescent="0.35">
      <c r="A930" s="7"/>
      <c r="B930" s="93"/>
      <c r="C930" s="93"/>
      <c r="D930" s="93"/>
      <c r="E930" s="93"/>
      <c r="F930" s="93"/>
      <c r="G930" s="94"/>
      <c r="H930" s="9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x14ac:dyDescent="0.35">
      <c r="A931" s="7"/>
      <c r="B931" s="93"/>
      <c r="C931" s="93"/>
      <c r="D931" s="93"/>
      <c r="E931" s="93"/>
      <c r="F931" s="93"/>
      <c r="G931" s="94"/>
      <c r="H931" s="9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x14ac:dyDescent="0.35">
      <c r="A932" s="7"/>
      <c r="B932" s="93"/>
      <c r="C932" s="93"/>
      <c r="D932" s="93"/>
      <c r="E932" s="93"/>
      <c r="F932" s="93"/>
      <c r="G932" s="94"/>
      <c r="H932" s="9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x14ac:dyDescent="0.35">
      <c r="A933" s="7"/>
      <c r="B933" s="93"/>
      <c r="C933" s="93"/>
      <c r="D933" s="93"/>
      <c r="E933" s="93"/>
      <c r="F933" s="93"/>
      <c r="G933" s="94"/>
      <c r="H933" s="9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x14ac:dyDescent="0.35">
      <c r="A934" s="7"/>
      <c r="B934" s="93"/>
      <c r="C934" s="93"/>
      <c r="D934" s="93"/>
      <c r="E934" s="93"/>
      <c r="F934" s="93"/>
      <c r="G934" s="94"/>
      <c r="H934" s="9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x14ac:dyDescent="0.35">
      <c r="A935" s="7"/>
      <c r="B935" s="93"/>
      <c r="C935" s="93"/>
      <c r="D935" s="93"/>
      <c r="E935" s="93"/>
      <c r="F935" s="93"/>
      <c r="G935" s="94"/>
      <c r="H935" s="9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x14ac:dyDescent="0.35">
      <c r="A936" s="7"/>
      <c r="B936" s="93"/>
      <c r="C936" s="93"/>
      <c r="D936" s="93"/>
      <c r="E936" s="93"/>
      <c r="F936" s="93"/>
      <c r="G936" s="94"/>
      <c r="H936" s="9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x14ac:dyDescent="0.35">
      <c r="A937" s="7"/>
      <c r="B937" s="93"/>
      <c r="C937" s="93"/>
      <c r="D937" s="93"/>
      <c r="E937" s="93"/>
      <c r="F937" s="93"/>
      <c r="G937" s="94"/>
      <c r="H937" s="9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x14ac:dyDescent="0.35">
      <c r="A938" s="7"/>
      <c r="B938" s="93"/>
      <c r="C938" s="93"/>
      <c r="D938" s="93"/>
      <c r="E938" s="93"/>
      <c r="F938" s="93"/>
      <c r="G938" s="94"/>
      <c r="H938" s="9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x14ac:dyDescent="0.35">
      <c r="A939" s="7"/>
      <c r="B939" s="93"/>
      <c r="C939" s="93"/>
      <c r="D939" s="93"/>
      <c r="E939" s="93"/>
      <c r="F939" s="93"/>
      <c r="G939" s="94"/>
      <c r="H939" s="9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x14ac:dyDescent="0.35">
      <c r="A940" s="7"/>
      <c r="B940" s="93"/>
      <c r="C940" s="93"/>
      <c r="D940" s="93"/>
      <c r="E940" s="93"/>
      <c r="F940" s="93"/>
      <c r="G940" s="94"/>
      <c r="H940" s="9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x14ac:dyDescent="0.35">
      <c r="A941" s="7"/>
      <c r="B941" s="93"/>
      <c r="C941" s="93"/>
      <c r="D941" s="93"/>
      <c r="E941" s="93"/>
      <c r="F941" s="93"/>
      <c r="G941" s="94"/>
      <c r="H941" s="9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x14ac:dyDescent="0.35">
      <c r="A942" s="7"/>
      <c r="B942" s="93"/>
      <c r="C942" s="93"/>
      <c r="D942" s="93"/>
      <c r="E942" s="93"/>
      <c r="F942" s="93"/>
      <c r="G942" s="94"/>
      <c r="H942" s="9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x14ac:dyDescent="0.35">
      <c r="A943" s="7"/>
      <c r="B943" s="93"/>
      <c r="C943" s="93"/>
      <c r="D943" s="93"/>
      <c r="E943" s="93"/>
      <c r="F943" s="93"/>
      <c r="G943" s="94"/>
      <c r="H943" s="9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x14ac:dyDescent="0.35">
      <c r="A944" s="7"/>
      <c r="B944" s="93"/>
      <c r="C944" s="93"/>
      <c r="D944" s="93"/>
      <c r="E944" s="93"/>
      <c r="F944" s="93"/>
      <c r="G944" s="94"/>
      <c r="H944" s="9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x14ac:dyDescent="0.35">
      <c r="A945" s="7"/>
      <c r="B945" s="93"/>
      <c r="C945" s="93"/>
      <c r="D945" s="93"/>
      <c r="E945" s="93"/>
      <c r="F945" s="93"/>
      <c r="G945" s="94"/>
      <c r="H945" s="9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x14ac:dyDescent="0.35">
      <c r="A946" s="7"/>
      <c r="B946" s="93"/>
      <c r="C946" s="93"/>
      <c r="D946" s="93"/>
      <c r="E946" s="93"/>
      <c r="F946" s="93"/>
      <c r="G946" s="94"/>
      <c r="H946" s="9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x14ac:dyDescent="0.35">
      <c r="A947" s="7"/>
      <c r="B947" s="93"/>
      <c r="C947" s="93"/>
      <c r="D947" s="93"/>
      <c r="E947" s="93"/>
      <c r="F947" s="93"/>
      <c r="G947" s="94"/>
      <c r="H947" s="9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x14ac:dyDescent="0.35">
      <c r="A948" s="7"/>
      <c r="B948" s="93"/>
      <c r="C948" s="93"/>
      <c r="D948" s="93"/>
      <c r="E948" s="93"/>
      <c r="F948" s="93"/>
      <c r="G948" s="94"/>
      <c r="H948" s="9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x14ac:dyDescent="0.35">
      <c r="A949" s="7"/>
      <c r="B949" s="93"/>
      <c r="C949" s="93"/>
      <c r="D949" s="93"/>
      <c r="E949" s="93"/>
      <c r="F949" s="93"/>
      <c r="G949" s="94"/>
      <c r="H949" s="9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x14ac:dyDescent="0.35">
      <c r="A950" s="7"/>
      <c r="B950" s="93"/>
      <c r="C950" s="93"/>
      <c r="D950" s="93"/>
      <c r="E950" s="93"/>
      <c r="F950" s="93"/>
      <c r="G950" s="94"/>
      <c r="H950" s="9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x14ac:dyDescent="0.35">
      <c r="A951" s="7"/>
      <c r="B951" s="93"/>
      <c r="C951" s="93"/>
      <c r="D951" s="93"/>
      <c r="E951" s="93"/>
      <c r="F951" s="93"/>
      <c r="G951" s="94"/>
      <c r="H951" s="9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7" sqref="O17"/>
    </sheetView>
  </sheetViews>
  <sheetFormatPr defaultColWidth="11.25" defaultRowHeight="15" customHeight="1" x14ac:dyDescent="0.35"/>
  <cols>
    <col min="1" max="12" width="10.58203125" customWidth="1"/>
    <col min="13" max="13" width="9.33203125" bestFit="1" customWidth="1"/>
    <col min="14" max="14" width="14.33203125" customWidth="1"/>
    <col min="15" max="15" width="16.75" customWidth="1"/>
    <col min="16" max="32" width="10.58203125" customWidth="1"/>
  </cols>
  <sheetData>
    <row r="1" spans="1:17" ht="15.75" customHeight="1" x14ac:dyDescent="0.35">
      <c r="A1" s="2" t="s">
        <v>2</v>
      </c>
      <c r="B1" s="2" t="s">
        <v>28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43</v>
      </c>
      <c r="Q1" s="18" t="s">
        <v>46</v>
      </c>
    </row>
    <row r="2" spans="1:17" ht="15.75" customHeight="1" x14ac:dyDescent="0.35">
      <c r="A2" s="2" t="s">
        <v>61</v>
      </c>
      <c r="B2" s="9">
        <v>0</v>
      </c>
      <c r="C2" s="9">
        <v>0</v>
      </c>
      <c r="D2" s="9">
        <f t="shared" ref="D2:D82" si="0">AVERAGE(B2:C2)</f>
        <v>0</v>
      </c>
      <c r="E2" s="9">
        <v>0</v>
      </c>
      <c r="F2" s="9">
        <v>0</v>
      </c>
      <c r="G2" s="9">
        <f t="shared" ref="G2:G82" si="1">AVERAGE(E2:F2)</f>
        <v>0</v>
      </c>
      <c r="H2" s="9">
        <v>0</v>
      </c>
      <c r="I2" s="9">
        <v>0</v>
      </c>
      <c r="J2" s="9">
        <f t="shared" ref="J2:J82" si="2">AVERAGE(H2:I2)</f>
        <v>0</v>
      </c>
      <c r="K2" s="9">
        <v>0</v>
      </c>
      <c r="L2" s="9">
        <v>0</v>
      </c>
      <c r="M2" s="9">
        <f t="shared" ref="M2:M82" si="3">AVERAGE(K2:L2)</f>
        <v>0</v>
      </c>
      <c r="N2" s="9">
        <v>0</v>
      </c>
      <c r="O2" s="9" t="s">
        <v>61</v>
      </c>
    </row>
    <row r="3" spans="1:17" ht="15.75" customHeight="1" x14ac:dyDescent="0.35">
      <c r="A3" s="2">
        <v>41</v>
      </c>
      <c r="B3" s="9">
        <v>4.0000000000000001E-3</v>
      </c>
      <c r="C3" s="9">
        <v>2E-3</v>
      </c>
      <c r="D3" s="9">
        <f t="shared" si="0"/>
        <v>3.0000000000000001E-3</v>
      </c>
      <c r="E3" s="9">
        <v>4.0000000000000001E-3</v>
      </c>
      <c r="F3" s="9">
        <v>2E-3</v>
      </c>
      <c r="G3" s="9">
        <f t="shared" si="1"/>
        <v>3.0000000000000001E-3</v>
      </c>
      <c r="H3" s="9">
        <v>4.0000000000000001E-3</v>
      </c>
      <c r="I3" s="9">
        <v>6.0000000000000001E-3</v>
      </c>
      <c r="J3" s="9">
        <f t="shared" si="2"/>
        <v>5.0000000000000001E-3</v>
      </c>
      <c r="K3" s="9">
        <v>1E-3</v>
      </c>
      <c r="L3" s="9">
        <v>3.0000000000000001E-3</v>
      </c>
      <c r="M3" s="9">
        <f t="shared" si="3"/>
        <v>2E-3</v>
      </c>
      <c r="N3" s="9">
        <f>(-0.3319*D3)-(1.7485*G3)+(11.9442*J3)-(1.4306*M3)</f>
        <v>5.06186E-2</v>
      </c>
      <c r="O3" s="9">
        <f t="shared" ref="O3:O82" si="4">N3-$N$2</f>
        <v>5.06186E-2</v>
      </c>
      <c r="Q3" s="2" t="s">
        <v>68</v>
      </c>
    </row>
    <row r="4" spans="1:17" ht="15.75" customHeight="1" x14ac:dyDescent="0.35">
      <c r="A4" s="2">
        <v>42</v>
      </c>
      <c r="B4" s="9">
        <v>0</v>
      </c>
      <c r="C4" s="9">
        <v>1E-3</v>
      </c>
      <c r="D4" s="9">
        <f t="shared" si="0"/>
        <v>5.0000000000000001E-4</v>
      </c>
      <c r="E4" s="9">
        <v>1E-3</v>
      </c>
      <c r="F4" s="9">
        <v>2E-3</v>
      </c>
      <c r="G4" s="9">
        <f t="shared" si="1"/>
        <v>1.5E-3</v>
      </c>
      <c r="H4" s="9">
        <v>8.9999999999999993E-3</v>
      </c>
      <c r="I4" s="9">
        <v>8.9999999999999993E-3</v>
      </c>
      <c r="J4" s="9">
        <f t="shared" si="2"/>
        <v>8.9999999999999993E-3</v>
      </c>
      <c r="K4" s="9">
        <v>3.0000000000000001E-3</v>
      </c>
      <c r="L4" s="9">
        <v>3.0000000000000001E-3</v>
      </c>
      <c r="M4" s="9">
        <f t="shared" si="3"/>
        <v>3.0000000000000001E-3</v>
      </c>
      <c r="N4" s="9">
        <f>(-0.3319*D4)-(1.7485*G4)+(11.9442*J4)-(1.4306*M4)</f>
        <v>0.10041729999999999</v>
      </c>
      <c r="O4" s="9">
        <f t="shared" si="4"/>
        <v>0.10041729999999999</v>
      </c>
      <c r="Q4" s="2" t="s">
        <v>71</v>
      </c>
    </row>
    <row r="5" spans="1:17" ht="15.75" customHeight="1" x14ac:dyDescent="0.35">
      <c r="A5" s="2">
        <v>43</v>
      </c>
      <c r="B5" s="9">
        <v>1E-3</v>
      </c>
      <c r="C5" s="9">
        <v>1E-3</v>
      </c>
      <c r="D5" s="9">
        <f t="shared" si="0"/>
        <v>1E-3</v>
      </c>
      <c r="E5" s="9">
        <v>1E-3</v>
      </c>
      <c r="F5" s="9">
        <v>1E-3</v>
      </c>
      <c r="G5" s="9">
        <f t="shared" si="1"/>
        <v>1E-3</v>
      </c>
      <c r="H5" s="9">
        <v>1.2E-2</v>
      </c>
      <c r="I5" s="9">
        <v>1.2E-2</v>
      </c>
      <c r="J5" s="9">
        <f t="shared" si="2"/>
        <v>1.2E-2</v>
      </c>
      <c r="K5" s="9">
        <v>2E-3</v>
      </c>
      <c r="L5" s="9">
        <v>3.0000000000000001E-3</v>
      </c>
      <c r="M5" s="9">
        <f t="shared" si="3"/>
        <v>2.5000000000000001E-3</v>
      </c>
      <c r="N5" s="9">
        <f t="shared" ref="N5:N68" si="5">(-0.3319*D5)-(1.7485*G5)+(11.9442*J5)-(1.4306*M5)</f>
        <v>0.13767349999999998</v>
      </c>
      <c r="O5" s="9">
        <f t="shared" si="4"/>
        <v>0.13767349999999998</v>
      </c>
    </row>
    <row r="6" spans="1:17" ht="15.75" customHeight="1" x14ac:dyDescent="0.35">
      <c r="A6" s="2">
        <v>44</v>
      </c>
      <c r="B6" s="9">
        <v>1E-3</v>
      </c>
      <c r="C6" s="9">
        <v>1E-3</v>
      </c>
      <c r="D6" s="9">
        <f t="shared" si="0"/>
        <v>1E-3</v>
      </c>
      <c r="E6" s="9">
        <v>0</v>
      </c>
      <c r="F6" s="9">
        <v>1E-3</v>
      </c>
      <c r="G6" s="9">
        <f t="shared" si="1"/>
        <v>5.0000000000000001E-4</v>
      </c>
      <c r="H6" s="9">
        <v>1.7000000000000001E-2</v>
      </c>
      <c r="I6" s="9">
        <v>1.7999999999999999E-2</v>
      </c>
      <c r="J6" s="9">
        <f t="shared" si="2"/>
        <v>1.7500000000000002E-2</v>
      </c>
      <c r="K6" s="9">
        <v>2E-3</v>
      </c>
      <c r="L6" s="9">
        <v>2E-3</v>
      </c>
      <c r="M6" s="9">
        <f t="shared" si="3"/>
        <v>2E-3</v>
      </c>
      <c r="N6" s="9">
        <f t="shared" si="5"/>
        <v>0.20495615000000003</v>
      </c>
      <c r="O6" s="9">
        <f t="shared" si="4"/>
        <v>0.20495615000000003</v>
      </c>
    </row>
    <row r="7" spans="1:17" ht="15.75" customHeight="1" x14ac:dyDescent="0.35">
      <c r="A7" s="2">
        <v>45</v>
      </c>
      <c r="B7" s="9">
        <v>1.4E-2</v>
      </c>
      <c r="C7" s="9">
        <v>1.4E-2</v>
      </c>
      <c r="D7" s="9">
        <f t="shared" si="0"/>
        <v>1.4E-2</v>
      </c>
      <c r="E7" s="9">
        <v>1.2999999999999999E-2</v>
      </c>
      <c r="F7" s="9">
        <v>1.2999999999999999E-2</v>
      </c>
      <c r="G7" s="9">
        <f t="shared" si="1"/>
        <v>1.2999999999999999E-2</v>
      </c>
      <c r="H7" s="9">
        <v>0.05</v>
      </c>
      <c r="I7" s="9">
        <v>5.0999999999999997E-2</v>
      </c>
      <c r="J7" s="9">
        <f t="shared" si="2"/>
        <v>5.0500000000000003E-2</v>
      </c>
      <c r="K7" s="9">
        <v>1E-3</v>
      </c>
      <c r="L7" s="9">
        <v>1E-3</v>
      </c>
      <c r="M7" s="9">
        <f t="shared" si="3"/>
        <v>1E-3</v>
      </c>
      <c r="N7" s="9">
        <f t="shared" si="5"/>
        <v>0.57437440000000006</v>
      </c>
      <c r="O7" s="9">
        <f t="shared" si="4"/>
        <v>0.57437440000000006</v>
      </c>
    </row>
    <row r="8" spans="1:17" ht="15.75" customHeight="1" x14ac:dyDescent="0.35">
      <c r="A8" s="2">
        <v>46</v>
      </c>
      <c r="B8" s="9">
        <v>0.08</v>
      </c>
      <c r="C8" s="9">
        <v>1.7999999999999999E-2</v>
      </c>
      <c r="D8" s="9">
        <f t="shared" si="0"/>
        <v>4.9000000000000002E-2</v>
      </c>
      <c r="E8" s="9">
        <v>7.9000000000000001E-2</v>
      </c>
      <c r="F8" s="9">
        <v>1.6E-2</v>
      </c>
      <c r="G8" s="9">
        <f t="shared" si="1"/>
        <v>4.7500000000000001E-2</v>
      </c>
      <c r="H8" s="9">
        <v>0.125</v>
      </c>
      <c r="I8" s="9">
        <v>6.3E-2</v>
      </c>
      <c r="J8" s="9">
        <f t="shared" si="2"/>
        <v>9.4E-2</v>
      </c>
      <c r="K8" s="9">
        <v>6.4000000000000001E-2</v>
      </c>
      <c r="L8" s="9">
        <v>6.0999999999999999E-2</v>
      </c>
      <c r="M8" s="9">
        <f t="shared" si="3"/>
        <v>6.25E-2</v>
      </c>
      <c r="N8" s="9">
        <f t="shared" si="5"/>
        <v>0.93402545000000015</v>
      </c>
      <c r="O8" s="9">
        <f t="shared" si="4"/>
        <v>0.93402545000000015</v>
      </c>
    </row>
    <row r="9" spans="1:17" ht="15.75" customHeight="1" x14ac:dyDescent="0.35">
      <c r="A9" s="2">
        <v>47</v>
      </c>
      <c r="B9" s="9">
        <v>3.5999999999999997E-2</v>
      </c>
      <c r="C9" s="9">
        <v>8.9999999999999993E-3</v>
      </c>
      <c r="D9" s="9">
        <f t="shared" si="0"/>
        <v>2.2499999999999999E-2</v>
      </c>
      <c r="E9" s="9">
        <v>3.5999999999999997E-2</v>
      </c>
      <c r="F9" s="9">
        <v>3.7999999999999999E-2</v>
      </c>
      <c r="G9" s="9">
        <f t="shared" si="1"/>
        <v>3.6999999999999998E-2</v>
      </c>
      <c r="H9" s="9">
        <v>7.0999999999999994E-2</v>
      </c>
      <c r="I9" s="9">
        <v>6.2E-2</v>
      </c>
      <c r="J9" s="9">
        <f t="shared" si="2"/>
        <v>6.6500000000000004E-2</v>
      </c>
      <c r="K9" s="9">
        <v>2.4E-2</v>
      </c>
      <c r="L9" s="9">
        <v>0.03</v>
      </c>
      <c r="M9" s="9">
        <f t="shared" si="3"/>
        <v>2.7E-2</v>
      </c>
      <c r="N9" s="9">
        <f t="shared" si="5"/>
        <v>0.68350085000000016</v>
      </c>
      <c r="O9" s="9">
        <f t="shared" si="4"/>
        <v>0.68350085000000016</v>
      </c>
    </row>
    <row r="10" spans="1:17" ht="15.75" customHeight="1" x14ac:dyDescent="0.35">
      <c r="A10" s="2">
        <v>48</v>
      </c>
      <c r="B10" s="9">
        <v>0</v>
      </c>
      <c r="C10" s="9">
        <v>7.0000000000000001E-3</v>
      </c>
      <c r="D10" s="9">
        <f t="shared" si="0"/>
        <v>3.5000000000000001E-3</v>
      </c>
      <c r="E10" s="9">
        <v>2E-3</v>
      </c>
      <c r="F10" s="9">
        <v>6.0000000000000001E-3</v>
      </c>
      <c r="G10" s="9">
        <f t="shared" si="1"/>
        <v>4.0000000000000001E-3</v>
      </c>
      <c r="H10" s="9">
        <v>1.2999999999999999E-2</v>
      </c>
      <c r="I10" s="9">
        <v>0.02</v>
      </c>
      <c r="J10" s="9">
        <f t="shared" si="2"/>
        <v>1.6500000000000001E-2</v>
      </c>
      <c r="K10" s="9">
        <v>5.0000000000000001E-3</v>
      </c>
      <c r="L10" s="9">
        <v>1E-3</v>
      </c>
      <c r="M10" s="9">
        <f t="shared" si="3"/>
        <v>3.0000000000000001E-3</v>
      </c>
      <c r="N10" s="9">
        <f t="shared" si="5"/>
        <v>0.18463184999999999</v>
      </c>
      <c r="O10" s="9">
        <f t="shared" si="4"/>
        <v>0.18463184999999999</v>
      </c>
    </row>
    <row r="11" spans="1:17" ht="15.75" customHeight="1" x14ac:dyDescent="0.35">
      <c r="A11" s="2">
        <v>49</v>
      </c>
      <c r="B11" s="9">
        <v>7.0000000000000001E-3</v>
      </c>
      <c r="C11" s="9">
        <v>4.5999999999999999E-2</v>
      </c>
      <c r="D11" s="9">
        <f t="shared" si="0"/>
        <v>2.6499999999999999E-2</v>
      </c>
      <c r="E11" s="9">
        <v>4.7E-2</v>
      </c>
      <c r="F11" s="9">
        <v>4.4999999999999998E-2</v>
      </c>
      <c r="G11" s="9">
        <f t="shared" si="1"/>
        <v>4.5999999999999999E-2</v>
      </c>
      <c r="H11" s="9">
        <v>0.03</v>
      </c>
      <c r="I11" s="9">
        <v>7.0000000000000007E-2</v>
      </c>
      <c r="J11" s="9">
        <f t="shared" si="2"/>
        <v>0.05</v>
      </c>
      <c r="K11" s="9">
        <v>3.2000000000000001E-2</v>
      </c>
      <c r="L11" s="9">
        <v>3.9E-2</v>
      </c>
      <c r="M11" s="9">
        <f t="shared" si="3"/>
        <v>3.5500000000000004E-2</v>
      </c>
      <c r="N11" s="9">
        <f t="shared" si="5"/>
        <v>0.45719735</v>
      </c>
      <c r="O11" s="9">
        <f t="shared" si="4"/>
        <v>0.45719735</v>
      </c>
    </row>
    <row r="12" spans="1:17" ht="15.75" customHeight="1" x14ac:dyDescent="0.35">
      <c r="A12" s="2">
        <v>50</v>
      </c>
      <c r="B12" s="9">
        <v>0</v>
      </c>
      <c r="C12" s="9">
        <v>3.7999999999999999E-2</v>
      </c>
      <c r="D12" s="9">
        <f t="shared" si="0"/>
        <v>1.9E-2</v>
      </c>
      <c r="E12" s="9">
        <v>2.1999999999999999E-2</v>
      </c>
      <c r="F12" s="9">
        <v>3.9E-2</v>
      </c>
      <c r="G12" s="9">
        <f t="shared" si="1"/>
        <v>3.0499999999999999E-2</v>
      </c>
      <c r="H12" s="9">
        <v>6.0999999999999999E-2</v>
      </c>
      <c r="I12" s="9">
        <v>0.05</v>
      </c>
      <c r="J12" s="9">
        <f t="shared" si="2"/>
        <v>5.5500000000000001E-2</v>
      </c>
      <c r="K12" s="9">
        <v>2.5000000000000001E-2</v>
      </c>
      <c r="L12" s="9">
        <v>3.5000000000000003E-2</v>
      </c>
      <c r="M12" s="9">
        <f t="shared" si="3"/>
        <v>3.0000000000000002E-2</v>
      </c>
      <c r="N12" s="9">
        <f t="shared" si="5"/>
        <v>0.56034975000000009</v>
      </c>
      <c r="O12" s="9">
        <f t="shared" si="4"/>
        <v>0.56034975000000009</v>
      </c>
    </row>
    <row r="13" spans="1:17" ht="15.75" customHeight="1" x14ac:dyDescent="0.35">
      <c r="A13" s="2">
        <v>51</v>
      </c>
      <c r="B13" s="9">
        <v>7.0000000000000001E-3</v>
      </c>
      <c r="C13" s="9">
        <v>4.0000000000000001E-3</v>
      </c>
      <c r="D13" s="9">
        <f t="shared" si="0"/>
        <v>5.4999999999999997E-3</v>
      </c>
      <c r="E13" s="9">
        <v>7.0000000000000001E-3</v>
      </c>
      <c r="F13" s="9">
        <v>3.0000000000000001E-3</v>
      </c>
      <c r="G13" s="9">
        <f t="shared" si="1"/>
        <v>5.0000000000000001E-3</v>
      </c>
      <c r="H13" s="9">
        <v>2.5999999999999999E-2</v>
      </c>
      <c r="I13" s="9">
        <v>2.5000000000000001E-2</v>
      </c>
      <c r="J13" s="9">
        <f t="shared" si="2"/>
        <v>2.5500000000000002E-2</v>
      </c>
      <c r="K13" s="9">
        <v>0</v>
      </c>
      <c r="L13" s="9">
        <v>4.0000000000000001E-3</v>
      </c>
      <c r="M13" s="9">
        <f t="shared" si="3"/>
        <v>2E-3</v>
      </c>
      <c r="N13" s="9">
        <f t="shared" si="5"/>
        <v>0.29114795000000004</v>
      </c>
      <c r="O13" s="9">
        <f t="shared" si="4"/>
        <v>0.29114795000000004</v>
      </c>
    </row>
    <row r="14" spans="1:17" ht="15.75" customHeight="1" x14ac:dyDescent="0.35">
      <c r="A14" s="2">
        <v>52</v>
      </c>
      <c r="B14" s="9">
        <v>3.5000000000000003E-2</v>
      </c>
      <c r="C14" s="9">
        <v>5.0000000000000001E-3</v>
      </c>
      <c r="D14" s="9">
        <f t="shared" si="0"/>
        <v>0.02</v>
      </c>
      <c r="E14" s="9">
        <v>3.4000000000000002E-2</v>
      </c>
      <c r="F14" s="9">
        <v>3.4000000000000002E-2</v>
      </c>
      <c r="G14" s="9">
        <f t="shared" si="1"/>
        <v>3.4000000000000002E-2</v>
      </c>
      <c r="H14" s="9">
        <v>5.3999999999999999E-2</v>
      </c>
      <c r="I14" s="9">
        <v>4.2000000000000003E-2</v>
      </c>
      <c r="J14" s="9">
        <f t="shared" si="2"/>
        <v>4.8000000000000001E-2</v>
      </c>
      <c r="K14" s="9">
        <v>2.9000000000000001E-2</v>
      </c>
      <c r="L14" s="9">
        <v>0.02</v>
      </c>
      <c r="M14" s="9">
        <f t="shared" si="3"/>
        <v>2.4500000000000001E-2</v>
      </c>
      <c r="N14" s="9">
        <f t="shared" si="5"/>
        <v>0.47218489999999996</v>
      </c>
      <c r="O14" s="9">
        <f t="shared" si="4"/>
        <v>0.47218489999999996</v>
      </c>
    </row>
    <row r="15" spans="1:17" ht="15.75" customHeight="1" x14ac:dyDescent="0.35">
      <c r="A15" s="2">
        <v>53</v>
      </c>
      <c r="B15" s="9">
        <v>4.2999999999999997E-2</v>
      </c>
      <c r="C15" s="9">
        <v>-1E-3</v>
      </c>
      <c r="D15" s="9">
        <f t="shared" si="0"/>
        <v>2.0999999999999998E-2</v>
      </c>
      <c r="E15" s="9">
        <v>4.3999999999999997E-2</v>
      </c>
      <c r="F15" s="9">
        <v>4.1000000000000002E-2</v>
      </c>
      <c r="G15" s="9">
        <f t="shared" si="1"/>
        <v>4.2499999999999996E-2</v>
      </c>
      <c r="H15" s="9">
        <v>5.2999999999999999E-2</v>
      </c>
      <c r="I15" s="9">
        <v>5.8000000000000003E-2</v>
      </c>
      <c r="J15" s="9">
        <f t="shared" si="2"/>
        <v>5.5500000000000001E-2</v>
      </c>
      <c r="K15" s="9">
        <v>4.1000000000000002E-2</v>
      </c>
      <c r="L15" s="9">
        <v>0.04</v>
      </c>
      <c r="M15" s="9">
        <f t="shared" si="3"/>
        <v>4.0500000000000001E-2</v>
      </c>
      <c r="N15" s="9">
        <f t="shared" si="5"/>
        <v>0.52368265000000003</v>
      </c>
      <c r="O15" s="9">
        <f t="shared" si="4"/>
        <v>0.52368265000000003</v>
      </c>
    </row>
    <row r="16" spans="1:17" ht="15.75" customHeight="1" x14ac:dyDescent="0.35">
      <c r="A16" s="2">
        <v>54</v>
      </c>
      <c r="B16" s="9">
        <v>1.6E-2</v>
      </c>
      <c r="C16" s="9">
        <v>2.3E-2</v>
      </c>
      <c r="D16" s="9">
        <f t="shared" si="0"/>
        <v>1.95E-2</v>
      </c>
      <c r="E16" s="9">
        <v>1.4999999999999999E-2</v>
      </c>
      <c r="F16" s="9">
        <v>2.1000000000000001E-2</v>
      </c>
      <c r="G16" s="9">
        <f t="shared" si="1"/>
        <v>1.8000000000000002E-2</v>
      </c>
      <c r="H16" s="9">
        <v>6.2E-2</v>
      </c>
      <c r="I16" s="9">
        <v>6.8000000000000005E-2</v>
      </c>
      <c r="J16" s="9">
        <f t="shared" si="2"/>
        <v>6.5000000000000002E-2</v>
      </c>
      <c r="K16" s="9">
        <v>1E-3</v>
      </c>
      <c r="L16" s="9">
        <v>4.0000000000000001E-3</v>
      </c>
      <c r="M16" s="9">
        <f t="shared" si="3"/>
        <v>2.5000000000000001E-3</v>
      </c>
      <c r="N16" s="9">
        <f t="shared" si="5"/>
        <v>0.73485145000000007</v>
      </c>
      <c r="O16" s="9">
        <f t="shared" si="4"/>
        <v>0.73485145000000007</v>
      </c>
    </row>
    <row r="17" spans="1:15" ht="15.75" customHeight="1" x14ac:dyDescent="0.35">
      <c r="A17" s="2">
        <v>55</v>
      </c>
      <c r="B17" s="9">
        <v>6.0000000000000001E-3</v>
      </c>
      <c r="C17" s="9">
        <v>3.5000000000000003E-2</v>
      </c>
      <c r="D17" s="9">
        <f t="shared" si="0"/>
        <v>2.0500000000000001E-2</v>
      </c>
      <c r="E17" s="9">
        <v>5.0000000000000001E-3</v>
      </c>
      <c r="F17" s="9">
        <v>3.5000000000000003E-2</v>
      </c>
      <c r="G17" s="9">
        <f t="shared" si="1"/>
        <v>0.02</v>
      </c>
      <c r="H17" s="9">
        <v>2.5999999999999999E-2</v>
      </c>
      <c r="I17" s="9">
        <v>5.7000000000000002E-2</v>
      </c>
      <c r="J17" s="9">
        <f t="shared" si="2"/>
        <v>4.1500000000000002E-2</v>
      </c>
      <c r="K17" s="9">
        <v>2E-3</v>
      </c>
      <c r="L17" s="9">
        <v>2.9000000000000001E-2</v>
      </c>
      <c r="M17" s="9">
        <f t="shared" si="3"/>
        <v>1.55E-2</v>
      </c>
      <c r="N17" s="9">
        <f t="shared" si="5"/>
        <v>0.43173605000000004</v>
      </c>
      <c r="O17" s="9">
        <f t="shared" si="4"/>
        <v>0.43173605000000004</v>
      </c>
    </row>
    <row r="18" spans="1:15" ht="15.75" customHeight="1" x14ac:dyDescent="0.35">
      <c r="A18" s="2">
        <v>56</v>
      </c>
      <c r="B18" s="9">
        <v>6.0000000000000001E-3</v>
      </c>
      <c r="C18" s="9">
        <v>5.6000000000000001E-2</v>
      </c>
      <c r="D18" s="9">
        <f t="shared" si="0"/>
        <v>3.1E-2</v>
      </c>
      <c r="E18" s="9">
        <v>7.0000000000000001E-3</v>
      </c>
      <c r="F18" s="9">
        <v>5.5E-2</v>
      </c>
      <c r="G18" s="9">
        <f t="shared" si="1"/>
        <v>3.1E-2</v>
      </c>
      <c r="H18" s="9">
        <v>2.9000000000000001E-2</v>
      </c>
      <c r="I18" s="9">
        <v>7.9000000000000001E-2</v>
      </c>
      <c r="J18" s="9">
        <f t="shared" si="2"/>
        <v>5.3999999999999999E-2</v>
      </c>
      <c r="K18" s="9">
        <v>1E-3</v>
      </c>
      <c r="L18" s="9">
        <v>4.5999999999999999E-2</v>
      </c>
      <c r="M18" s="9">
        <f t="shared" si="3"/>
        <v>2.35E-2</v>
      </c>
      <c r="N18" s="9">
        <f t="shared" si="5"/>
        <v>0.54687529999999995</v>
      </c>
      <c r="O18" s="9">
        <f t="shared" si="4"/>
        <v>0.54687529999999995</v>
      </c>
    </row>
    <row r="19" spans="1:15" ht="15.75" customHeight="1" x14ac:dyDescent="0.35">
      <c r="A19" s="2">
        <v>57</v>
      </c>
      <c r="B19" s="9">
        <v>1.9E-2</v>
      </c>
      <c r="C19" s="9">
        <v>1.2999999999999999E-2</v>
      </c>
      <c r="D19" s="9">
        <f t="shared" si="0"/>
        <v>1.6E-2</v>
      </c>
      <c r="E19" s="9">
        <v>2.3E-2</v>
      </c>
      <c r="F19" s="9">
        <v>1.7999999999999999E-2</v>
      </c>
      <c r="G19" s="9">
        <f t="shared" si="1"/>
        <v>2.0499999999999997E-2</v>
      </c>
      <c r="H19" s="9">
        <v>6.8000000000000005E-2</v>
      </c>
      <c r="I19" s="9">
        <v>6.5000000000000002E-2</v>
      </c>
      <c r="J19" s="9">
        <f t="shared" si="2"/>
        <v>6.6500000000000004E-2</v>
      </c>
      <c r="K19" s="9">
        <v>7.0000000000000001E-3</v>
      </c>
      <c r="L19" s="9">
        <v>2E-3</v>
      </c>
      <c r="M19" s="9">
        <f t="shared" si="3"/>
        <v>4.5000000000000005E-3</v>
      </c>
      <c r="N19" s="9">
        <f t="shared" si="5"/>
        <v>0.74669695000000014</v>
      </c>
      <c r="O19" s="9">
        <f t="shared" si="4"/>
        <v>0.74669695000000014</v>
      </c>
    </row>
    <row r="20" spans="1:15" ht="15.75" customHeight="1" x14ac:dyDescent="0.35">
      <c r="A20" s="2">
        <v>58</v>
      </c>
      <c r="B20" s="9">
        <v>4.4999999999999998E-2</v>
      </c>
      <c r="C20" s="9">
        <v>4.3999999999999997E-2</v>
      </c>
      <c r="D20" s="9">
        <f t="shared" si="0"/>
        <v>4.4499999999999998E-2</v>
      </c>
      <c r="E20" s="9">
        <v>4.4999999999999998E-2</v>
      </c>
      <c r="F20" s="9">
        <v>7.2999999999999995E-2</v>
      </c>
      <c r="G20" s="9">
        <f t="shared" si="1"/>
        <v>5.8999999999999997E-2</v>
      </c>
      <c r="H20" s="9">
        <v>0.09</v>
      </c>
      <c r="I20" s="9">
        <v>0.127</v>
      </c>
      <c r="J20" s="9">
        <f t="shared" si="2"/>
        <v>0.1085</v>
      </c>
      <c r="K20" s="9">
        <v>3.1E-2</v>
      </c>
      <c r="L20" s="9">
        <v>4.4999999999999998E-2</v>
      </c>
      <c r="M20" s="9">
        <f t="shared" si="3"/>
        <v>3.7999999999999999E-2</v>
      </c>
      <c r="N20" s="9">
        <f t="shared" si="5"/>
        <v>1.1236518500000001</v>
      </c>
      <c r="O20" s="9">
        <f t="shared" si="4"/>
        <v>1.1236518500000001</v>
      </c>
    </row>
    <row r="21" spans="1:15" ht="15.75" customHeight="1" x14ac:dyDescent="0.35">
      <c r="A21" s="2">
        <v>59</v>
      </c>
      <c r="B21" s="9">
        <v>4.3999999999999997E-2</v>
      </c>
      <c r="C21" s="9">
        <v>3.2000000000000001E-2</v>
      </c>
      <c r="D21" s="9">
        <f t="shared" si="0"/>
        <v>3.7999999999999999E-2</v>
      </c>
      <c r="E21" s="9">
        <v>4.3999999999999997E-2</v>
      </c>
      <c r="F21" s="9">
        <v>0.03</v>
      </c>
      <c r="G21" s="9">
        <f t="shared" si="1"/>
        <v>3.6999999999999998E-2</v>
      </c>
      <c r="H21" s="9">
        <v>6.8000000000000005E-2</v>
      </c>
      <c r="I21" s="9">
        <v>5.6000000000000001E-2</v>
      </c>
      <c r="J21" s="9">
        <f t="shared" si="2"/>
        <v>6.2E-2</v>
      </c>
      <c r="K21" s="9">
        <v>3.9E-2</v>
      </c>
      <c r="L21" s="9">
        <v>0.02</v>
      </c>
      <c r="M21" s="9">
        <f t="shared" si="3"/>
        <v>2.9499999999999998E-2</v>
      </c>
      <c r="N21" s="9">
        <f t="shared" si="5"/>
        <v>0.621031</v>
      </c>
      <c r="O21" s="9">
        <f t="shared" si="4"/>
        <v>0.621031</v>
      </c>
    </row>
    <row r="22" spans="1:15" ht="15.75" customHeight="1" x14ac:dyDescent="0.35">
      <c r="A22" s="2">
        <v>60</v>
      </c>
      <c r="B22" s="9">
        <v>2E-3</v>
      </c>
      <c r="C22" s="9">
        <v>1.2E-2</v>
      </c>
      <c r="D22" s="9">
        <f t="shared" si="0"/>
        <v>7.0000000000000001E-3</v>
      </c>
      <c r="E22" s="9">
        <v>1E-3</v>
      </c>
      <c r="F22" s="9">
        <v>1.2E-2</v>
      </c>
      <c r="G22" s="9">
        <f t="shared" si="1"/>
        <v>6.5000000000000006E-3</v>
      </c>
      <c r="H22" s="9">
        <v>1.9E-2</v>
      </c>
      <c r="I22" s="9">
        <v>0.03</v>
      </c>
      <c r="J22" s="9">
        <f t="shared" si="2"/>
        <v>2.4500000000000001E-2</v>
      </c>
      <c r="K22" s="9">
        <v>5.0000000000000001E-3</v>
      </c>
      <c r="L22" s="9">
        <v>5.0000000000000001E-3</v>
      </c>
      <c r="M22" s="9">
        <f t="shared" si="3"/>
        <v>5.0000000000000001E-3</v>
      </c>
      <c r="N22" s="9">
        <f t="shared" si="5"/>
        <v>0.27179134999999999</v>
      </c>
      <c r="O22" s="9">
        <f t="shared" si="4"/>
        <v>0.27179134999999999</v>
      </c>
    </row>
    <row r="23" spans="1:15" ht="15.75" customHeight="1" x14ac:dyDescent="0.35">
      <c r="A23" s="2">
        <v>129</v>
      </c>
      <c r="B23" s="9">
        <v>0.106</v>
      </c>
      <c r="C23" s="2">
        <v>0.11899999999999999</v>
      </c>
      <c r="D23" s="9">
        <f t="shared" si="0"/>
        <v>0.11249999999999999</v>
      </c>
      <c r="E23" s="9">
        <v>0.08</v>
      </c>
      <c r="F23" s="9">
        <v>9.8000000000000004E-2</v>
      </c>
      <c r="G23" s="9">
        <f t="shared" si="1"/>
        <v>8.8999999999999996E-2</v>
      </c>
      <c r="H23" s="9">
        <v>0.04</v>
      </c>
      <c r="I23" s="9">
        <v>1.7000000000000001E-2</v>
      </c>
      <c r="J23" s="9">
        <f t="shared" si="2"/>
        <v>2.8500000000000001E-2</v>
      </c>
      <c r="K23" s="9">
        <v>8.9999999999999993E-3</v>
      </c>
      <c r="L23" s="9">
        <v>8.9999999999999993E-3</v>
      </c>
      <c r="M23" s="9">
        <f t="shared" si="3"/>
        <v>8.9999999999999993E-3</v>
      </c>
      <c r="N23" s="9">
        <f t="shared" si="5"/>
        <v>0.13457905000000006</v>
      </c>
      <c r="O23" s="9">
        <f t="shared" si="4"/>
        <v>0.13457905000000006</v>
      </c>
    </row>
    <row r="24" spans="1:15" ht="15.75" customHeight="1" x14ac:dyDescent="0.35">
      <c r="A24" s="2">
        <v>130</v>
      </c>
      <c r="B24" s="9">
        <v>0.121</v>
      </c>
      <c r="C24" s="9">
        <v>0.11799999999999999</v>
      </c>
      <c r="D24" s="9">
        <f t="shared" si="0"/>
        <v>0.1195</v>
      </c>
      <c r="E24" s="9">
        <v>0.11899999999999999</v>
      </c>
      <c r="F24" s="9">
        <v>0.11600000000000001</v>
      </c>
      <c r="G24" s="9">
        <f t="shared" si="1"/>
        <v>0.11749999999999999</v>
      </c>
      <c r="H24" s="9">
        <v>2.7E-2</v>
      </c>
      <c r="I24" s="9">
        <v>0.02</v>
      </c>
      <c r="J24" s="9">
        <f t="shared" si="2"/>
        <v>2.35E-2</v>
      </c>
      <c r="K24" s="9">
        <v>1.6E-2</v>
      </c>
      <c r="L24" s="9">
        <v>0.01</v>
      </c>
      <c r="M24" s="9">
        <f t="shared" si="3"/>
        <v>1.3000000000000001E-2</v>
      </c>
      <c r="N24" s="9">
        <f t="shared" si="5"/>
        <v>1.6980100000000022E-2</v>
      </c>
      <c r="O24" s="9">
        <f t="shared" si="4"/>
        <v>1.6980100000000022E-2</v>
      </c>
    </row>
    <row r="25" spans="1:15" ht="15.75" customHeight="1" x14ac:dyDescent="0.35">
      <c r="A25" s="2">
        <v>131</v>
      </c>
      <c r="B25" s="9">
        <v>0.10299999999999999</v>
      </c>
      <c r="C25" s="9">
        <v>8.1000000000000003E-2</v>
      </c>
      <c r="D25" s="9">
        <f t="shared" si="0"/>
        <v>9.1999999999999998E-2</v>
      </c>
      <c r="E25" s="9">
        <v>7.3999999999999996E-2</v>
      </c>
      <c r="F25" s="9">
        <v>9.8000000000000004E-2</v>
      </c>
      <c r="G25" s="9">
        <f t="shared" si="1"/>
        <v>8.5999999999999993E-2</v>
      </c>
      <c r="H25" s="9">
        <v>0.107</v>
      </c>
      <c r="I25" s="9">
        <v>0.13600000000000001</v>
      </c>
      <c r="J25" s="9">
        <f t="shared" si="2"/>
        <v>0.1215</v>
      </c>
      <c r="K25" s="9">
        <v>5.3999999999999999E-2</v>
      </c>
      <c r="L25" s="9">
        <v>7.3999999999999996E-2</v>
      </c>
      <c r="M25" s="9">
        <f t="shared" si="3"/>
        <v>6.4000000000000001E-2</v>
      </c>
      <c r="N25" s="9">
        <f t="shared" si="5"/>
        <v>1.1787561</v>
      </c>
      <c r="O25" s="9">
        <f t="shared" si="4"/>
        <v>1.1787561</v>
      </c>
    </row>
    <row r="26" spans="1:15" ht="15.75" customHeight="1" x14ac:dyDescent="0.35">
      <c r="A26" s="2">
        <v>132</v>
      </c>
      <c r="B26" s="9">
        <v>0.154</v>
      </c>
      <c r="C26" s="9">
        <v>0.158</v>
      </c>
      <c r="D26" s="9">
        <f t="shared" si="0"/>
        <v>0.156</v>
      </c>
      <c r="E26" s="9">
        <v>0.10100000000000001</v>
      </c>
      <c r="F26" s="9">
        <v>0.14499999999999999</v>
      </c>
      <c r="G26" s="9">
        <f t="shared" si="1"/>
        <v>0.123</v>
      </c>
      <c r="H26" s="9">
        <v>0.10199999999999999</v>
      </c>
      <c r="I26" s="9">
        <v>0.105</v>
      </c>
      <c r="J26" s="9">
        <f t="shared" si="2"/>
        <v>0.10349999999999999</v>
      </c>
      <c r="K26" s="9">
        <v>8.7999999999999995E-2</v>
      </c>
      <c r="L26" s="9">
        <v>0.13100000000000001</v>
      </c>
      <c r="M26" s="9">
        <f t="shared" si="3"/>
        <v>0.1095</v>
      </c>
      <c r="N26" s="9">
        <f t="shared" si="5"/>
        <v>0.81273209999999996</v>
      </c>
      <c r="O26" s="9">
        <f t="shared" si="4"/>
        <v>0.81273209999999996</v>
      </c>
    </row>
    <row r="27" spans="1:15" ht="15.75" customHeight="1" x14ac:dyDescent="0.35">
      <c r="A27" s="2">
        <v>133</v>
      </c>
      <c r="B27" s="9">
        <v>0.14099999999999999</v>
      </c>
      <c r="C27" s="9">
        <v>0.10100000000000001</v>
      </c>
      <c r="D27" s="9">
        <f t="shared" si="0"/>
        <v>0.121</v>
      </c>
      <c r="E27" s="9">
        <v>0.09</v>
      </c>
      <c r="F27" s="9">
        <v>0.13100000000000001</v>
      </c>
      <c r="G27" s="9">
        <f t="shared" si="1"/>
        <v>0.1105</v>
      </c>
      <c r="H27" s="9">
        <v>9.9000000000000005E-2</v>
      </c>
      <c r="I27" s="9">
        <v>0.114</v>
      </c>
      <c r="J27" s="9">
        <f t="shared" si="2"/>
        <v>0.10650000000000001</v>
      </c>
      <c r="K27" s="9">
        <v>7.9000000000000001E-2</v>
      </c>
      <c r="L27" s="9">
        <v>7.1999999999999995E-2</v>
      </c>
      <c r="M27" s="9">
        <f t="shared" si="3"/>
        <v>7.5499999999999998E-2</v>
      </c>
      <c r="N27" s="9">
        <f t="shared" si="5"/>
        <v>0.93067785000000025</v>
      </c>
      <c r="O27" s="9">
        <f t="shared" si="4"/>
        <v>0.93067785000000025</v>
      </c>
    </row>
    <row r="28" spans="1:15" ht="15.75" customHeight="1" x14ac:dyDescent="0.35">
      <c r="A28" s="2">
        <v>134</v>
      </c>
      <c r="B28" s="9">
        <v>6.3E-2</v>
      </c>
      <c r="C28" s="9">
        <v>2.5000000000000001E-2</v>
      </c>
      <c r="D28" s="9">
        <f t="shared" si="0"/>
        <v>4.3999999999999997E-2</v>
      </c>
      <c r="E28" s="9">
        <v>2.3E-2</v>
      </c>
      <c r="F28" s="9">
        <v>5.8999999999999997E-2</v>
      </c>
      <c r="G28" s="9">
        <f t="shared" si="1"/>
        <v>4.0999999999999995E-2</v>
      </c>
      <c r="H28" s="9">
        <v>0.04</v>
      </c>
      <c r="I28" s="9">
        <v>7.4999999999999997E-2</v>
      </c>
      <c r="J28" s="9">
        <f t="shared" si="2"/>
        <v>5.7499999999999996E-2</v>
      </c>
      <c r="K28" s="9">
        <v>1.4999999999999999E-2</v>
      </c>
      <c r="L28" s="9">
        <v>4.7E-2</v>
      </c>
      <c r="M28" s="9">
        <f t="shared" si="3"/>
        <v>3.1E-2</v>
      </c>
      <c r="N28" s="9">
        <f t="shared" si="5"/>
        <v>0.55615080000000006</v>
      </c>
      <c r="O28" s="9">
        <f t="shared" si="4"/>
        <v>0.55615080000000006</v>
      </c>
    </row>
    <row r="29" spans="1:15" ht="15.75" customHeight="1" x14ac:dyDescent="0.35">
      <c r="A29" s="2">
        <v>135</v>
      </c>
      <c r="B29" s="9">
        <v>0.106</v>
      </c>
      <c r="C29" s="9">
        <v>0.108</v>
      </c>
      <c r="D29" s="9">
        <f t="shared" si="0"/>
        <v>0.107</v>
      </c>
      <c r="E29" s="9">
        <v>0.105</v>
      </c>
      <c r="F29" s="9">
        <v>0.10199999999999999</v>
      </c>
      <c r="G29" s="9">
        <f t="shared" si="1"/>
        <v>0.10349999999999999</v>
      </c>
      <c r="H29" s="9">
        <v>5.0999999999999997E-2</v>
      </c>
      <c r="I29" s="9">
        <v>6.9000000000000006E-2</v>
      </c>
      <c r="J29" s="9">
        <f t="shared" si="2"/>
        <v>0.06</v>
      </c>
      <c r="K29" s="9">
        <v>1.2999999999999999E-2</v>
      </c>
      <c r="L29" s="9">
        <v>5.7000000000000002E-2</v>
      </c>
      <c r="M29" s="9">
        <f t="shared" si="3"/>
        <v>3.5000000000000003E-2</v>
      </c>
      <c r="N29" s="9">
        <f t="shared" si="5"/>
        <v>0.45009794999999991</v>
      </c>
      <c r="O29" s="9">
        <f t="shared" si="4"/>
        <v>0.45009794999999991</v>
      </c>
    </row>
    <row r="30" spans="1:15" ht="15.75" customHeight="1" x14ac:dyDescent="0.35">
      <c r="A30" s="2">
        <v>136</v>
      </c>
      <c r="B30" s="9">
        <v>4.8000000000000001E-2</v>
      </c>
      <c r="C30" s="9">
        <v>3.9E-2</v>
      </c>
      <c r="D30" s="9">
        <f t="shared" si="0"/>
        <v>4.3499999999999997E-2</v>
      </c>
      <c r="E30" s="9">
        <v>3.5999999999999997E-2</v>
      </c>
      <c r="F30" s="9">
        <v>4.5999999999999999E-2</v>
      </c>
      <c r="G30" s="9">
        <f t="shared" si="1"/>
        <v>4.0999999999999995E-2</v>
      </c>
      <c r="H30" s="9">
        <v>0.05</v>
      </c>
      <c r="I30" s="9">
        <v>0.06</v>
      </c>
      <c r="J30" s="9">
        <f t="shared" si="2"/>
        <v>5.5E-2</v>
      </c>
      <c r="K30" s="9">
        <v>2.7E-2</v>
      </c>
      <c r="L30" s="9">
        <v>3.5999999999999997E-2</v>
      </c>
      <c r="M30" s="9">
        <f t="shared" si="3"/>
        <v>3.15E-2</v>
      </c>
      <c r="N30" s="9">
        <f t="shared" si="5"/>
        <v>0.52574094999999998</v>
      </c>
      <c r="O30" s="9">
        <f t="shared" si="4"/>
        <v>0.52574094999999998</v>
      </c>
    </row>
    <row r="31" spans="1:15" ht="15.75" customHeight="1" x14ac:dyDescent="0.35">
      <c r="A31" s="2">
        <v>137</v>
      </c>
      <c r="B31" s="9">
        <v>0.156</v>
      </c>
      <c r="C31" s="9">
        <v>0.123</v>
      </c>
      <c r="D31" s="9">
        <f t="shared" si="0"/>
        <v>0.13950000000000001</v>
      </c>
      <c r="E31" s="9">
        <v>0.122</v>
      </c>
      <c r="F31" s="9">
        <v>0.14799999999999999</v>
      </c>
      <c r="G31" s="9">
        <f t="shared" si="1"/>
        <v>0.13500000000000001</v>
      </c>
      <c r="H31" s="9">
        <v>3.5999999999999997E-2</v>
      </c>
      <c r="I31" s="9">
        <v>5.5E-2</v>
      </c>
      <c r="J31" s="9">
        <f t="shared" si="2"/>
        <v>4.5499999999999999E-2</v>
      </c>
      <c r="K31" s="9">
        <v>0.11600000000000001</v>
      </c>
      <c r="L31" s="9">
        <v>0.128</v>
      </c>
      <c r="M31" s="9">
        <f t="shared" si="3"/>
        <v>0.122</v>
      </c>
      <c r="N31" s="9">
        <f t="shared" si="5"/>
        <v>8.6580350000000028E-2</v>
      </c>
      <c r="O31" s="9">
        <f t="shared" si="4"/>
        <v>8.6580350000000028E-2</v>
      </c>
    </row>
    <row r="32" spans="1:15" ht="15.75" customHeight="1" x14ac:dyDescent="0.35">
      <c r="A32" s="2">
        <v>138</v>
      </c>
      <c r="B32" s="9">
        <v>0.13400000000000001</v>
      </c>
      <c r="C32" s="9">
        <v>0.111</v>
      </c>
      <c r="D32" s="9">
        <f t="shared" si="0"/>
        <v>0.1225</v>
      </c>
      <c r="E32" s="9">
        <v>0.10199999999999999</v>
      </c>
      <c r="F32" s="9">
        <v>0.124</v>
      </c>
      <c r="G32" s="9">
        <f t="shared" si="1"/>
        <v>0.11299999999999999</v>
      </c>
      <c r="H32" s="9">
        <v>0.129</v>
      </c>
      <c r="I32" s="9">
        <v>0.152</v>
      </c>
      <c r="J32" s="9">
        <f t="shared" si="2"/>
        <v>0.14050000000000001</v>
      </c>
      <c r="K32" s="9">
        <v>7.9000000000000001E-2</v>
      </c>
      <c r="L32" s="9">
        <v>9.9000000000000005E-2</v>
      </c>
      <c r="M32" s="9">
        <f t="shared" si="3"/>
        <v>8.8999999999999996E-2</v>
      </c>
      <c r="N32" s="9">
        <f t="shared" si="5"/>
        <v>1.3125984500000001</v>
      </c>
      <c r="O32" s="9">
        <f t="shared" si="4"/>
        <v>1.3125984500000001</v>
      </c>
    </row>
    <row r="33" spans="1:15" ht="15.75" customHeight="1" x14ac:dyDescent="0.35">
      <c r="A33" s="2">
        <v>139</v>
      </c>
      <c r="B33" s="9">
        <v>0.11</v>
      </c>
      <c r="C33" s="9">
        <v>0.11700000000000001</v>
      </c>
      <c r="D33" s="9">
        <f t="shared" si="0"/>
        <v>0.1135</v>
      </c>
      <c r="E33" s="9">
        <v>0.107</v>
      </c>
      <c r="F33" s="9">
        <v>0.105</v>
      </c>
      <c r="G33" s="9">
        <f t="shared" si="1"/>
        <v>0.106</v>
      </c>
      <c r="H33" s="9">
        <v>3.2000000000000001E-2</v>
      </c>
      <c r="I33" s="9">
        <v>0.02</v>
      </c>
      <c r="J33" s="9">
        <f t="shared" si="2"/>
        <v>2.6000000000000002E-2</v>
      </c>
      <c r="K33" s="9">
        <v>8.2000000000000003E-2</v>
      </c>
      <c r="L33" s="9">
        <v>9.0999999999999998E-2</v>
      </c>
      <c r="M33" s="9">
        <f t="shared" si="3"/>
        <v>8.6499999999999994E-2</v>
      </c>
      <c r="N33" s="9">
        <f t="shared" si="5"/>
        <v>-3.6209349999999946E-2</v>
      </c>
      <c r="O33" s="9">
        <f t="shared" si="4"/>
        <v>-3.6209349999999946E-2</v>
      </c>
    </row>
    <row r="34" spans="1:15" ht="15.75" customHeight="1" x14ac:dyDescent="0.35">
      <c r="A34" s="2">
        <v>140</v>
      </c>
      <c r="B34" s="9">
        <v>0.115</v>
      </c>
      <c r="C34" s="9">
        <v>0.121</v>
      </c>
      <c r="D34" s="9">
        <f t="shared" si="0"/>
        <v>0.11799999999999999</v>
      </c>
      <c r="E34" s="9">
        <v>0.02</v>
      </c>
      <c r="F34" s="9">
        <v>1.7000000000000001E-2</v>
      </c>
      <c r="G34" s="9">
        <f t="shared" si="1"/>
        <v>1.8500000000000003E-2</v>
      </c>
      <c r="H34" s="9">
        <v>2.9000000000000001E-2</v>
      </c>
      <c r="I34" s="9">
        <v>1.2999999999999999E-2</v>
      </c>
      <c r="J34" s="9">
        <f t="shared" si="2"/>
        <v>2.1000000000000001E-2</v>
      </c>
      <c r="K34" s="9">
        <v>8.5000000000000006E-2</v>
      </c>
      <c r="L34" s="9">
        <v>9.7000000000000003E-2</v>
      </c>
      <c r="M34" s="9">
        <f t="shared" si="3"/>
        <v>9.0999999999999998E-2</v>
      </c>
      <c r="N34" s="9">
        <f t="shared" si="5"/>
        <v>4.9132149999999986E-2</v>
      </c>
      <c r="O34" s="9">
        <f t="shared" si="4"/>
        <v>4.9132149999999986E-2</v>
      </c>
    </row>
    <row r="35" spans="1:15" ht="15.75" customHeight="1" x14ac:dyDescent="0.35">
      <c r="A35" s="2">
        <v>141</v>
      </c>
      <c r="B35" s="9">
        <v>0.127</v>
      </c>
      <c r="C35" s="9">
        <v>0.11700000000000001</v>
      </c>
      <c r="D35" s="9">
        <f t="shared" si="0"/>
        <v>0.122</v>
      </c>
      <c r="E35" s="9">
        <v>1.6E-2</v>
      </c>
      <c r="F35" s="9">
        <v>2.1999999999999999E-2</v>
      </c>
      <c r="G35" s="9">
        <f t="shared" si="1"/>
        <v>1.9E-2</v>
      </c>
      <c r="H35" s="9">
        <v>2.7E-2</v>
      </c>
      <c r="I35" s="9">
        <v>2.4E-2</v>
      </c>
      <c r="J35" s="9">
        <f t="shared" si="2"/>
        <v>2.5500000000000002E-2</v>
      </c>
      <c r="K35" s="9">
        <v>0.10199999999999999</v>
      </c>
      <c r="L35" s="9">
        <v>0.107</v>
      </c>
      <c r="M35" s="9">
        <f t="shared" si="3"/>
        <v>0.1045</v>
      </c>
      <c r="N35" s="9">
        <f t="shared" si="5"/>
        <v>8.1366100000000052E-2</v>
      </c>
      <c r="O35" s="9">
        <f t="shared" si="4"/>
        <v>8.1366100000000052E-2</v>
      </c>
    </row>
    <row r="36" spans="1:15" ht="15.75" customHeight="1" x14ac:dyDescent="0.35">
      <c r="A36" s="2">
        <v>142</v>
      </c>
      <c r="B36" s="9">
        <v>0.108</v>
      </c>
      <c r="C36" s="9">
        <v>8.8999999999999996E-2</v>
      </c>
      <c r="D36" s="9">
        <f t="shared" si="0"/>
        <v>9.8500000000000004E-2</v>
      </c>
      <c r="E36" s="9">
        <v>8.5000000000000006E-2</v>
      </c>
      <c r="F36" s="9">
        <v>0.104</v>
      </c>
      <c r="G36" s="9">
        <f t="shared" si="1"/>
        <v>9.4500000000000001E-2</v>
      </c>
      <c r="H36" s="9">
        <v>9.5000000000000001E-2</v>
      </c>
      <c r="I36" s="9">
        <v>0.108</v>
      </c>
      <c r="J36" s="9">
        <f t="shared" si="2"/>
        <v>0.10150000000000001</v>
      </c>
      <c r="K36" s="9">
        <v>6.6000000000000003E-2</v>
      </c>
      <c r="L36" s="9">
        <v>9.2999999999999999E-2</v>
      </c>
      <c r="M36" s="9">
        <f t="shared" si="3"/>
        <v>7.9500000000000001E-2</v>
      </c>
      <c r="N36" s="9">
        <f t="shared" si="5"/>
        <v>0.9006782000000001</v>
      </c>
      <c r="O36" s="9">
        <f t="shared" si="4"/>
        <v>0.9006782000000001</v>
      </c>
    </row>
    <row r="37" spans="1:15" ht="15.75" customHeight="1" x14ac:dyDescent="0.35">
      <c r="A37" s="2">
        <v>143</v>
      </c>
      <c r="B37" s="9">
        <v>0.155</v>
      </c>
      <c r="C37" s="9">
        <v>0.108</v>
      </c>
      <c r="D37" s="9">
        <f t="shared" si="0"/>
        <v>0.13150000000000001</v>
      </c>
      <c r="E37" s="9">
        <v>0.10299999999999999</v>
      </c>
      <c r="F37" s="9">
        <v>0.105</v>
      </c>
      <c r="G37" s="9">
        <f t="shared" si="1"/>
        <v>0.104</v>
      </c>
      <c r="H37" s="9">
        <v>0.10299999999999999</v>
      </c>
      <c r="I37" s="9">
        <v>0.14499999999999999</v>
      </c>
      <c r="J37" s="9">
        <f t="shared" si="2"/>
        <v>0.124</v>
      </c>
      <c r="K37" s="9">
        <v>8.8999999999999996E-2</v>
      </c>
      <c r="L37" s="9">
        <v>0.13300000000000001</v>
      </c>
      <c r="M37" s="9">
        <f t="shared" si="3"/>
        <v>0.111</v>
      </c>
      <c r="N37" s="9">
        <f t="shared" si="5"/>
        <v>1.0967953499999998</v>
      </c>
      <c r="O37" s="9">
        <f t="shared" si="4"/>
        <v>1.0967953499999998</v>
      </c>
    </row>
    <row r="38" spans="1:15" ht="15.75" customHeight="1" x14ac:dyDescent="0.35">
      <c r="A38" s="2">
        <v>144</v>
      </c>
      <c r="B38" s="9">
        <v>2.1000000000000001E-2</v>
      </c>
      <c r="C38" s="9">
        <v>2.4E-2</v>
      </c>
      <c r="D38" s="9">
        <f t="shared" si="0"/>
        <v>2.2499999999999999E-2</v>
      </c>
      <c r="E38" s="9">
        <v>2.1000000000000001E-2</v>
      </c>
      <c r="F38" s="9">
        <v>2.5000000000000001E-2</v>
      </c>
      <c r="G38" s="9">
        <f t="shared" si="1"/>
        <v>2.3E-2</v>
      </c>
      <c r="H38" s="9">
        <v>2.8000000000000001E-2</v>
      </c>
      <c r="I38" s="9">
        <v>3.2000000000000001E-2</v>
      </c>
      <c r="J38" s="9">
        <f t="shared" si="2"/>
        <v>0.03</v>
      </c>
      <c r="K38" s="9">
        <v>1.7000000000000001E-2</v>
      </c>
      <c r="L38" s="9">
        <v>2.1000000000000001E-2</v>
      </c>
      <c r="M38" s="9">
        <f t="shared" si="3"/>
        <v>1.9000000000000003E-2</v>
      </c>
      <c r="N38" s="9">
        <f t="shared" si="5"/>
        <v>0.28346134999999995</v>
      </c>
      <c r="O38" s="9">
        <f t="shared" si="4"/>
        <v>0.28346134999999995</v>
      </c>
    </row>
    <row r="39" spans="1:15" ht="15.75" customHeight="1" x14ac:dyDescent="0.35">
      <c r="A39" s="2">
        <v>145</v>
      </c>
      <c r="B39" s="9">
        <v>0.05</v>
      </c>
      <c r="C39" s="9">
        <v>3.7999999999999999E-2</v>
      </c>
      <c r="D39" s="9">
        <f t="shared" si="0"/>
        <v>4.3999999999999997E-2</v>
      </c>
      <c r="E39" s="9">
        <v>4.9000000000000002E-2</v>
      </c>
      <c r="F39" s="9">
        <v>3.7999999999999999E-2</v>
      </c>
      <c r="G39" s="9">
        <f t="shared" si="1"/>
        <v>4.3499999999999997E-2</v>
      </c>
      <c r="H39" s="9">
        <v>7.0999999999999994E-2</v>
      </c>
      <c r="I39" s="9">
        <v>0.06</v>
      </c>
      <c r="J39" s="9">
        <f t="shared" si="2"/>
        <v>6.5500000000000003E-2</v>
      </c>
      <c r="K39" s="9">
        <v>0.04</v>
      </c>
      <c r="L39" s="9">
        <v>2.9000000000000001E-2</v>
      </c>
      <c r="M39" s="9">
        <f t="shared" si="3"/>
        <v>3.4500000000000003E-2</v>
      </c>
      <c r="N39" s="9">
        <f t="shared" si="5"/>
        <v>0.64232604999999998</v>
      </c>
      <c r="O39" s="9">
        <f t="shared" si="4"/>
        <v>0.64232604999999998</v>
      </c>
    </row>
    <row r="40" spans="1:15" ht="15.75" customHeight="1" x14ac:dyDescent="0.35">
      <c r="A40" s="2">
        <v>146</v>
      </c>
      <c r="B40" s="9">
        <v>1.9E-2</v>
      </c>
      <c r="C40" s="9">
        <v>2.1000000000000001E-2</v>
      </c>
      <c r="D40" s="9">
        <f t="shared" si="0"/>
        <v>0.02</v>
      </c>
      <c r="E40" s="9">
        <v>1.9E-2</v>
      </c>
      <c r="F40" s="9">
        <v>2.1000000000000001E-2</v>
      </c>
      <c r="G40" s="9">
        <f t="shared" si="1"/>
        <v>0.02</v>
      </c>
      <c r="H40" s="9">
        <v>4.5999999999999999E-2</v>
      </c>
      <c r="I40" s="9">
        <v>4.8000000000000001E-2</v>
      </c>
      <c r="J40" s="9">
        <f t="shared" si="2"/>
        <v>4.7E-2</v>
      </c>
      <c r="K40" s="9">
        <v>1.0999999999999999E-2</v>
      </c>
      <c r="L40" s="9">
        <v>1.2999999999999999E-2</v>
      </c>
      <c r="M40" s="9">
        <f t="shared" si="3"/>
        <v>1.2E-2</v>
      </c>
      <c r="N40" s="9">
        <f t="shared" si="5"/>
        <v>0.5026022</v>
      </c>
      <c r="O40" s="9">
        <f t="shared" si="4"/>
        <v>0.5026022</v>
      </c>
    </row>
    <row r="41" spans="1:15" ht="15.75" customHeight="1" x14ac:dyDescent="0.35">
      <c r="A41" s="2">
        <v>147</v>
      </c>
      <c r="B41" s="9">
        <v>3.1E-2</v>
      </c>
      <c r="C41" s="9">
        <v>3.3000000000000002E-2</v>
      </c>
      <c r="D41" s="9">
        <f t="shared" si="0"/>
        <v>3.2000000000000001E-2</v>
      </c>
      <c r="E41" s="9">
        <v>0.03</v>
      </c>
      <c r="F41" s="9">
        <v>3.3000000000000002E-2</v>
      </c>
      <c r="G41" s="9">
        <f t="shared" si="1"/>
        <v>3.15E-2</v>
      </c>
      <c r="H41" s="9">
        <v>7.8E-2</v>
      </c>
      <c r="I41" s="9">
        <v>8.1000000000000003E-2</v>
      </c>
      <c r="J41" s="9">
        <f t="shared" si="2"/>
        <v>7.9500000000000001E-2</v>
      </c>
      <c r="K41" s="9">
        <v>1.2999999999999999E-2</v>
      </c>
      <c r="L41" s="9">
        <v>1.4999999999999999E-2</v>
      </c>
      <c r="M41" s="9">
        <f t="shared" si="3"/>
        <v>1.3999999999999999E-2</v>
      </c>
      <c r="N41" s="9">
        <f t="shared" si="5"/>
        <v>0.86383695000000005</v>
      </c>
      <c r="O41" s="9">
        <f t="shared" si="4"/>
        <v>0.86383695000000005</v>
      </c>
    </row>
    <row r="42" spans="1:15" ht="15.75" customHeight="1" x14ac:dyDescent="0.35">
      <c r="A42" s="2">
        <v>148</v>
      </c>
      <c r="B42" s="9">
        <v>1.4999999999999999E-2</v>
      </c>
      <c r="C42" s="9">
        <v>2.9000000000000001E-2</v>
      </c>
      <c r="D42" s="9">
        <f t="shared" si="0"/>
        <v>2.1999999999999999E-2</v>
      </c>
      <c r="E42" s="9">
        <v>1.4999999999999999E-2</v>
      </c>
      <c r="F42" s="9">
        <v>2.9000000000000001E-2</v>
      </c>
      <c r="G42" s="9">
        <f t="shared" si="1"/>
        <v>2.1999999999999999E-2</v>
      </c>
      <c r="H42" s="9">
        <v>3.3000000000000002E-2</v>
      </c>
      <c r="I42" s="9">
        <v>4.5999999999999999E-2</v>
      </c>
      <c r="J42" s="9">
        <f t="shared" si="2"/>
        <v>3.95E-2</v>
      </c>
      <c r="K42" s="9">
        <v>8.9999999999999993E-3</v>
      </c>
      <c r="L42" s="9">
        <v>2.1999999999999999E-2</v>
      </c>
      <c r="M42" s="9">
        <f t="shared" si="3"/>
        <v>1.55E-2</v>
      </c>
      <c r="N42" s="9">
        <f t="shared" si="5"/>
        <v>0.40385280000000007</v>
      </c>
      <c r="O42" s="9">
        <f t="shared" si="4"/>
        <v>0.40385280000000007</v>
      </c>
    </row>
    <row r="43" spans="1:15" ht="15.75" customHeight="1" x14ac:dyDescent="0.35">
      <c r="A43" s="2">
        <v>61</v>
      </c>
      <c r="B43" s="9">
        <v>1.0999999999999999E-2</v>
      </c>
      <c r="C43" s="9">
        <v>8.9999999999999993E-3</v>
      </c>
      <c r="D43" s="9">
        <f t="shared" si="0"/>
        <v>9.9999999999999985E-3</v>
      </c>
      <c r="E43" s="9">
        <v>0.01</v>
      </c>
      <c r="F43" s="9">
        <v>8.0000000000000002E-3</v>
      </c>
      <c r="G43" s="9">
        <f t="shared" si="1"/>
        <v>9.0000000000000011E-3</v>
      </c>
      <c r="H43" s="9">
        <v>2.7E-2</v>
      </c>
      <c r="I43" s="9">
        <v>2.5000000000000001E-2</v>
      </c>
      <c r="J43" s="9">
        <f t="shared" si="2"/>
        <v>2.6000000000000002E-2</v>
      </c>
      <c r="K43" s="9">
        <v>4.0000000000000001E-3</v>
      </c>
      <c r="L43" s="9">
        <v>2E-3</v>
      </c>
      <c r="M43" s="9">
        <f t="shared" si="3"/>
        <v>3.0000000000000001E-3</v>
      </c>
      <c r="N43" s="9">
        <f t="shared" si="5"/>
        <v>0.28720190000000001</v>
      </c>
      <c r="O43" s="9">
        <f t="shared" si="4"/>
        <v>0.28720190000000001</v>
      </c>
    </row>
    <row r="44" spans="1:15" ht="15.75" customHeight="1" x14ac:dyDescent="0.35">
      <c r="A44" s="2">
        <v>62</v>
      </c>
      <c r="B44" s="9">
        <v>8.0000000000000002E-3</v>
      </c>
      <c r="C44" s="9">
        <v>8.9999999999999993E-3</v>
      </c>
      <c r="D44" s="9">
        <f t="shared" si="0"/>
        <v>8.5000000000000006E-3</v>
      </c>
      <c r="E44" s="9">
        <v>8.0000000000000002E-3</v>
      </c>
      <c r="F44" s="9">
        <v>8.0000000000000002E-3</v>
      </c>
      <c r="G44" s="9">
        <f t="shared" si="1"/>
        <v>8.0000000000000002E-3</v>
      </c>
      <c r="H44" s="9">
        <v>1.4E-2</v>
      </c>
      <c r="I44" s="9">
        <v>1.2999999999999999E-2</v>
      </c>
      <c r="J44" s="9">
        <f t="shared" si="2"/>
        <v>1.35E-2</v>
      </c>
      <c r="K44" s="9">
        <v>6.0000000000000001E-3</v>
      </c>
      <c r="L44" s="9">
        <v>3.0000000000000001E-3</v>
      </c>
      <c r="M44" s="9">
        <f t="shared" si="3"/>
        <v>4.5000000000000005E-3</v>
      </c>
      <c r="N44" s="9">
        <f t="shared" si="5"/>
        <v>0.13799985000000001</v>
      </c>
      <c r="O44" s="9">
        <f t="shared" si="4"/>
        <v>0.13799985000000001</v>
      </c>
    </row>
    <row r="45" spans="1:15" ht="15.75" customHeight="1" x14ac:dyDescent="0.35">
      <c r="A45" s="2">
        <v>63</v>
      </c>
      <c r="B45" s="9">
        <v>1.9E-2</v>
      </c>
      <c r="C45" s="9">
        <v>2.4E-2</v>
      </c>
      <c r="D45" s="9">
        <f t="shared" si="0"/>
        <v>2.1499999999999998E-2</v>
      </c>
      <c r="E45" s="9">
        <v>1.7999999999999999E-2</v>
      </c>
      <c r="F45" s="9">
        <v>2.3E-2</v>
      </c>
      <c r="G45" s="9">
        <f t="shared" si="1"/>
        <v>2.0499999999999997E-2</v>
      </c>
      <c r="H45" s="9">
        <v>5.7000000000000002E-2</v>
      </c>
      <c r="I45" s="9">
        <v>6.9000000000000006E-2</v>
      </c>
      <c r="J45" s="9">
        <f t="shared" si="2"/>
        <v>6.3E-2</v>
      </c>
      <c r="K45" s="9">
        <v>2E-3</v>
      </c>
      <c r="L45" s="9">
        <v>5.0000000000000001E-3</v>
      </c>
      <c r="M45" s="9">
        <f t="shared" si="3"/>
        <v>3.5000000000000001E-3</v>
      </c>
      <c r="N45" s="9">
        <f t="shared" si="5"/>
        <v>0.70449740000000005</v>
      </c>
      <c r="O45" s="9">
        <f t="shared" si="4"/>
        <v>0.70449740000000005</v>
      </c>
    </row>
    <row r="46" spans="1:15" ht="15.75" customHeight="1" x14ac:dyDescent="0.35">
      <c r="A46" s="2">
        <v>64</v>
      </c>
      <c r="B46" s="9">
        <v>3.4000000000000002E-2</v>
      </c>
      <c r="C46" s="9">
        <v>3.6999999999999998E-2</v>
      </c>
      <c r="D46" s="9">
        <f t="shared" si="0"/>
        <v>3.5500000000000004E-2</v>
      </c>
      <c r="E46" s="9">
        <v>3.1E-2</v>
      </c>
      <c r="F46" s="9">
        <v>3.4000000000000002E-2</v>
      </c>
      <c r="G46" s="9">
        <f t="shared" si="1"/>
        <v>3.2500000000000001E-2</v>
      </c>
      <c r="H46" s="9">
        <v>0.108</v>
      </c>
      <c r="I46" s="9">
        <v>0.111</v>
      </c>
      <c r="J46" s="9">
        <f t="shared" si="2"/>
        <v>0.1095</v>
      </c>
      <c r="K46" s="9">
        <v>3.0000000000000001E-3</v>
      </c>
      <c r="L46" s="9">
        <v>5.0000000000000001E-3</v>
      </c>
      <c r="M46" s="9">
        <f t="shared" si="3"/>
        <v>4.0000000000000001E-3</v>
      </c>
      <c r="N46" s="9">
        <f t="shared" si="5"/>
        <v>1.2335588</v>
      </c>
      <c r="O46" s="9">
        <f t="shared" si="4"/>
        <v>1.2335588</v>
      </c>
    </row>
    <row r="47" spans="1:15" ht="15.75" customHeight="1" x14ac:dyDescent="0.35">
      <c r="A47" s="2">
        <v>65</v>
      </c>
      <c r="B47" s="9">
        <v>0.04</v>
      </c>
      <c r="C47" s="9">
        <v>4.5999999999999999E-2</v>
      </c>
      <c r="D47" s="9">
        <f t="shared" si="0"/>
        <v>4.2999999999999997E-2</v>
      </c>
      <c r="E47" s="9">
        <v>3.5000000000000003E-2</v>
      </c>
      <c r="F47" s="9">
        <v>4.2000000000000003E-2</v>
      </c>
      <c r="G47" s="9">
        <f t="shared" si="1"/>
        <v>3.8500000000000006E-2</v>
      </c>
      <c r="H47" s="9">
        <v>0.13</v>
      </c>
      <c r="I47" s="9">
        <v>0.13500000000000001</v>
      </c>
      <c r="J47" s="9">
        <f t="shared" si="2"/>
        <v>0.13250000000000001</v>
      </c>
      <c r="K47" s="9">
        <v>0</v>
      </c>
      <c r="L47" s="9">
        <v>6.0000000000000001E-3</v>
      </c>
      <c r="M47" s="9">
        <f t="shared" si="3"/>
        <v>3.0000000000000001E-3</v>
      </c>
      <c r="N47" s="9">
        <f t="shared" si="5"/>
        <v>1.49672575</v>
      </c>
      <c r="O47" s="9">
        <f t="shared" si="4"/>
        <v>1.49672575</v>
      </c>
    </row>
    <row r="48" spans="1:15" ht="15.75" customHeight="1" x14ac:dyDescent="0.35">
      <c r="A48" s="2">
        <v>66</v>
      </c>
      <c r="B48" s="9">
        <v>2.1999999999999999E-2</v>
      </c>
      <c r="C48" s="9">
        <v>3.1E-2</v>
      </c>
      <c r="D48" s="9">
        <f t="shared" si="0"/>
        <v>2.6499999999999999E-2</v>
      </c>
      <c r="E48" s="9">
        <v>2.1000000000000001E-2</v>
      </c>
      <c r="F48" s="9">
        <v>2.8000000000000001E-2</v>
      </c>
      <c r="G48" s="9">
        <f t="shared" si="1"/>
        <v>2.4500000000000001E-2</v>
      </c>
      <c r="H48" s="9">
        <v>7.0999999999999994E-2</v>
      </c>
      <c r="I48" s="9">
        <v>7.9000000000000001E-2</v>
      </c>
      <c r="J48" s="9">
        <f t="shared" si="2"/>
        <v>7.4999999999999997E-2</v>
      </c>
      <c r="K48" s="9">
        <v>4.0000000000000001E-3</v>
      </c>
      <c r="L48" s="9">
        <v>8.9999999999999993E-3</v>
      </c>
      <c r="M48" s="9">
        <f t="shared" si="3"/>
        <v>6.4999999999999997E-3</v>
      </c>
      <c r="N48" s="9">
        <f t="shared" si="5"/>
        <v>0.83488250000000008</v>
      </c>
      <c r="O48" s="9">
        <f t="shared" si="4"/>
        <v>0.83488250000000008</v>
      </c>
    </row>
    <row r="49" spans="1:15" ht="15.75" customHeight="1" x14ac:dyDescent="0.35">
      <c r="A49" s="2">
        <v>67</v>
      </c>
      <c r="B49" s="9">
        <v>3.4000000000000002E-2</v>
      </c>
      <c r="C49" s="9">
        <v>7.2999999999999995E-2</v>
      </c>
      <c r="D49" s="9">
        <f t="shared" si="0"/>
        <v>5.3499999999999999E-2</v>
      </c>
      <c r="E49" s="9">
        <v>3.3000000000000002E-2</v>
      </c>
      <c r="F49" s="9">
        <v>6.7000000000000004E-2</v>
      </c>
      <c r="G49" s="9">
        <f t="shared" si="1"/>
        <v>0.05</v>
      </c>
      <c r="H49" s="9">
        <v>0.105</v>
      </c>
      <c r="I49" s="9">
        <v>0.14599999999999999</v>
      </c>
      <c r="J49" s="9">
        <f t="shared" si="2"/>
        <v>0.1255</v>
      </c>
      <c r="K49" s="9">
        <v>7.0000000000000001E-3</v>
      </c>
      <c r="L49" s="9">
        <v>3.2000000000000001E-2</v>
      </c>
      <c r="M49" s="9">
        <f t="shared" si="3"/>
        <v>1.95E-2</v>
      </c>
      <c r="N49" s="9">
        <f t="shared" si="5"/>
        <v>1.3659187499999998</v>
      </c>
      <c r="O49" s="9">
        <f t="shared" si="4"/>
        <v>1.3659187499999998</v>
      </c>
    </row>
    <row r="50" spans="1:15" ht="15.75" customHeight="1" x14ac:dyDescent="0.35">
      <c r="A50" s="2">
        <v>68</v>
      </c>
      <c r="B50" s="9">
        <v>0.03</v>
      </c>
      <c r="C50" s="9">
        <v>8.2000000000000003E-2</v>
      </c>
      <c r="D50" s="9">
        <f t="shared" si="0"/>
        <v>5.6000000000000001E-2</v>
      </c>
      <c r="E50" s="9">
        <v>3.1E-2</v>
      </c>
      <c r="F50" s="9">
        <v>7.3999999999999996E-2</v>
      </c>
      <c r="G50" s="9">
        <f t="shared" si="1"/>
        <v>5.2499999999999998E-2</v>
      </c>
      <c r="H50" s="9">
        <v>9.2999999999999999E-2</v>
      </c>
      <c r="I50" s="9">
        <v>0.14599999999999999</v>
      </c>
      <c r="J50" s="9">
        <f t="shared" si="2"/>
        <v>0.1195</v>
      </c>
      <c r="K50" s="9">
        <v>8.9999999999999993E-3</v>
      </c>
      <c r="L50" s="9">
        <v>0.04</v>
      </c>
      <c r="M50" s="9">
        <f t="shared" si="3"/>
        <v>2.4500000000000001E-2</v>
      </c>
      <c r="N50" s="9">
        <f t="shared" si="5"/>
        <v>1.2818995499999999</v>
      </c>
      <c r="O50" s="9">
        <f t="shared" si="4"/>
        <v>1.2818995499999999</v>
      </c>
    </row>
    <row r="51" spans="1:15" ht="15.75" customHeight="1" x14ac:dyDescent="0.35">
      <c r="A51" s="2">
        <v>69</v>
      </c>
      <c r="B51" s="9">
        <v>8.0000000000000002E-3</v>
      </c>
      <c r="C51" s="9">
        <v>1.2E-2</v>
      </c>
      <c r="D51" s="9">
        <f t="shared" si="0"/>
        <v>0.01</v>
      </c>
      <c r="E51" s="9">
        <v>7.0000000000000001E-3</v>
      </c>
      <c r="F51" s="9">
        <v>1.0999999999999999E-2</v>
      </c>
      <c r="G51" s="9">
        <f t="shared" si="1"/>
        <v>8.9999999999999993E-3</v>
      </c>
      <c r="H51" s="9">
        <v>2.7E-2</v>
      </c>
      <c r="I51" s="9">
        <v>3.4000000000000002E-2</v>
      </c>
      <c r="J51" s="9">
        <f t="shared" si="2"/>
        <v>3.0499999999999999E-2</v>
      </c>
      <c r="K51" s="9">
        <v>0</v>
      </c>
      <c r="L51" s="9">
        <v>1E-3</v>
      </c>
      <c r="M51" s="9">
        <f t="shared" si="3"/>
        <v>5.0000000000000001E-4</v>
      </c>
      <c r="N51" s="9">
        <f t="shared" si="5"/>
        <v>0.34452730000000004</v>
      </c>
      <c r="O51" s="9">
        <f t="shared" si="4"/>
        <v>0.34452730000000004</v>
      </c>
    </row>
    <row r="52" spans="1:15" ht="15.75" customHeight="1" x14ac:dyDescent="0.35">
      <c r="A52" s="2">
        <v>70</v>
      </c>
      <c r="B52" s="9">
        <v>1.2999999999999999E-2</v>
      </c>
      <c r="C52" s="9">
        <v>1.7000000000000001E-2</v>
      </c>
      <c r="D52" s="9">
        <f t="shared" si="0"/>
        <v>1.4999999999999999E-2</v>
      </c>
      <c r="E52" s="9">
        <v>1.0999999999999999E-2</v>
      </c>
      <c r="F52" s="9">
        <v>1.6E-2</v>
      </c>
      <c r="G52" s="9">
        <f t="shared" si="1"/>
        <v>1.35E-2</v>
      </c>
      <c r="H52" s="9">
        <v>4.5999999999999999E-2</v>
      </c>
      <c r="I52" s="9">
        <v>5.0999999999999997E-2</v>
      </c>
      <c r="J52" s="9">
        <f t="shared" si="2"/>
        <v>4.8500000000000001E-2</v>
      </c>
      <c r="K52" s="9">
        <v>-1E-3</v>
      </c>
      <c r="L52" s="9">
        <v>2E-3</v>
      </c>
      <c r="M52" s="9">
        <f t="shared" si="3"/>
        <v>5.0000000000000001E-4</v>
      </c>
      <c r="N52" s="9">
        <f t="shared" si="5"/>
        <v>0.5499951500000001</v>
      </c>
      <c r="O52" s="9">
        <f t="shared" si="4"/>
        <v>0.5499951500000001</v>
      </c>
    </row>
    <row r="53" spans="1:15" ht="15.75" customHeight="1" x14ac:dyDescent="0.35">
      <c r="A53" s="2">
        <v>71</v>
      </c>
      <c r="B53" s="2">
        <v>3.0000000000000001E-3</v>
      </c>
      <c r="C53" s="2">
        <v>2E-3</v>
      </c>
      <c r="D53" s="9">
        <f t="shared" si="0"/>
        <v>2.5000000000000001E-3</v>
      </c>
      <c r="E53" s="2">
        <v>4.0000000000000001E-3</v>
      </c>
      <c r="F53" s="2">
        <v>2E-3</v>
      </c>
      <c r="G53" s="9">
        <f t="shared" si="1"/>
        <v>3.0000000000000001E-3</v>
      </c>
      <c r="H53" s="2">
        <v>3.0000000000000001E-3</v>
      </c>
      <c r="I53" s="2">
        <v>2E-3</v>
      </c>
      <c r="J53" s="9">
        <f t="shared" si="2"/>
        <v>2.5000000000000001E-3</v>
      </c>
      <c r="K53" s="9">
        <v>3.0000000000000001E-3</v>
      </c>
      <c r="L53" s="9">
        <v>2E-3</v>
      </c>
      <c r="M53" s="9">
        <f t="shared" si="3"/>
        <v>2.5000000000000001E-3</v>
      </c>
      <c r="N53" s="9">
        <f t="shared" si="5"/>
        <v>2.0208750000000001E-2</v>
      </c>
      <c r="O53" s="9">
        <f t="shared" si="4"/>
        <v>2.0208750000000001E-2</v>
      </c>
    </row>
    <row r="54" spans="1:15" ht="15.75" customHeight="1" x14ac:dyDescent="0.35">
      <c r="A54" s="2">
        <v>72</v>
      </c>
      <c r="B54" s="9">
        <v>5.0000000000000001E-3</v>
      </c>
      <c r="C54" s="9">
        <v>4.0000000000000001E-3</v>
      </c>
      <c r="D54" s="9">
        <f t="shared" si="0"/>
        <v>4.5000000000000005E-3</v>
      </c>
      <c r="E54" s="9">
        <v>5.0000000000000001E-3</v>
      </c>
      <c r="F54" s="9">
        <v>7.0000000000000001E-3</v>
      </c>
      <c r="G54" s="9">
        <f t="shared" si="1"/>
        <v>6.0000000000000001E-3</v>
      </c>
      <c r="H54" s="9">
        <v>5.0000000000000001E-3</v>
      </c>
      <c r="I54" s="9">
        <v>4.0000000000000001E-3</v>
      </c>
      <c r="J54" s="9">
        <f t="shared" si="2"/>
        <v>4.5000000000000005E-3</v>
      </c>
      <c r="K54" s="9">
        <v>5.0000000000000001E-3</v>
      </c>
      <c r="L54" s="9">
        <v>7.0000000000000001E-3</v>
      </c>
      <c r="M54" s="9">
        <f t="shared" si="3"/>
        <v>6.0000000000000001E-3</v>
      </c>
      <c r="N54" s="9">
        <f t="shared" si="5"/>
        <v>3.3180750000000009E-2</v>
      </c>
      <c r="O54" s="9">
        <f t="shared" si="4"/>
        <v>3.3180750000000009E-2</v>
      </c>
    </row>
    <row r="55" spans="1:15" ht="15.75" customHeight="1" x14ac:dyDescent="0.35">
      <c r="A55" s="2">
        <v>73</v>
      </c>
      <c r="B55" s="9">
        <v>3.0000000000000001E-3</v>
      </c>
      <c r="C55" s="9">
        <v>1.7000000000000001E-2</v>
      </c>
      <c r="D55" s="9">
        <f t="shared" si="0"/>
        <v>0.01</v>
      </c>
      <c r="E55" s="9">
        <v>3.0000000000000001E-3</v>
      </c>
      <c r="F55" s="9">
        <v>1.4E-2</v>
      </c>
      <c r="G55" s="9">
        <f t="shared" si="1"/>
        <v>8.5000000000000006E-3</v>
      </c>
      <c r="H55" s="9">
        <v>5.0000000000000001E-3</v>
      </c>
      <c r="I55" s="9">
        <v>1.7000000000000001E-2</v>
      </c>
      <c r="J55" s="9">
        <f t="shared" si="2"/>
        <v>1.1000000000000001E-2</v>
      </c>
      <c r="K55" s="9">
        <v>2E-3</v>
      </c>
      <c r="L55" s="9">
        <v>8.9999999999999993E-3</v>
      </c>
      <c r="M55" s="9">
        <f t="shared" si="3"/>
        <v>5.4999999999999997E-3</v>
      </c>
      <c r="N55" s="9">
        <f t="shared" si="5"/>
        <v>0.10533665000000002</v>
      </c>
      <c r="O55" s="9">
        <f t="shared" si="4"/>
        <v>0.10533665000000002</v>
      </c>
    </row>
    <row r="56" spans="1:15" ht="15.75" customHeight="1" x14ac:dyDescent="0.35">
      <c r="A56" s="2">
        <v>74</v>
      </c>
      <c r="B56" s="9">
        <v>0</v>
      </c>
      <c r="C56" s="9">
        <v>1E-3</v>
      </c>
      <c r="D56" s="9">
        <f t="shared" si="0"/>
        <v>5.0000000000000001E-4</v>
      </c>
      <c r="E56" s="9">
        <v>1E-3</v>
      </c>
      <c r="F56" s="9">
        <v>1E-3</v>
      </c>
      <c r="G56" s="9">
        <f t="shared" si="1"/>
        <v>1E-3</v>
      </c>
      <c r="H56" s="9">
        <v>1.9E-2</v>
      </c>
      <c r="I56" s="9">
        <v>2.1000000000000001E-2</v>
      </c>
      <c r="J56" s="9">
        <f t="shared" si="2"/>
        <v>0.02</v>
      </c>
      <c r="K56" s="9">
        <v>3.0000000000000001E-3</v>
      </c>
      <c r="L56" s="9">
        <v>3.0000000000000001E-3</v>
      </c>
      <c r="M56" s="9">
        <f t="shared" si="3"/>
        <v>3.0000000000000001E-3</v>
      </c>
      <c r="N56" s="9">
        <f t="shared" si="5"/>
        <v>0.23267774999999999</v>
      </c>
      <c r="O56" s="9">
        <f t="shared" si="4"/>
        <v>0.23267774999999999</v>
      </c>
    </row>
    <row r="57" spans="1:15" ht="15.75" customHeight="1" x14ac:dyDescent="0.35">
      <c r="A57" s="2">
        <v>75</v>
      </c>
      <c r="B57" s="9">
        <v>1E-3</v>
      </c>
      <c r="C57" s="9">
        <v>1E-3</v>
      </c>
      <c r="D57" s="9">
        <f t="shared" si="0"/>
        <v>1E-3</v>
      </c>
      <c r="E57" s="9">
        <v>1E-3</v>
      </c>
      <c r="F57" s="9">
        <v>1E-3</v>
      </c>
      <c r="G57" s="9">
        <f t="shared" si="1"/>
        <v>1E-3</v>
      </c>
      <c r="H57" s="9">
        <v>3.0000000000000001E-3</v>
      </c>
      <c r="I57" s="9">
        <v>3.0000000000000001E-3</v>
      </c>
      <c r="J57" s="9">
        <f t="shared" si="2"/>
        <v>3.0000000000000001E-3</v>
      </c>
      <c r="K57" s="9">
        <v>2E-3</v>
      </c>
      <c r="L57" s="9">
        <v>2E-3</v>
      </c>
      <c r="M57" s="9">
        <f t="shared" si="3"/>
        <v>2E-3</v>
      </c>
      <c r="N57" s="9">
        <f t="shared" si="5"/>
        <v>3.0890999999999995E-2</v>
      </c>
      <c r="O57" s="9">
        <f t="shared" si="4"/>
        <v>3.0890999999999995E-2</v>
      </c>
    </row>
    <row r="58" spans="1:15" ht="15.75" customHeight="1" x14ac:dyDescent="0.35">
      <c r="A58" s="2">
        <v>76</v>
      </c>
      <c r="B58" s="9">
        <v>0.02</v>
      </c>
      <c r="C58" s="9">
        <v>2.1000000000000001E-2</v>
      </c>
      <c r="D58" s="9">
        <f t="shared" si="0"/>
        <v>2.0500000000000001E-2</v>
      </c>
      <c r="E58" s="9">
        <v>1.7000000000000001E-2</v>
      </c>
      <c r="F58" s="9">
        <v>1.7999999999999999E-2</v>
      </c>
      <c r="G58" s="9">
        <f t="shared" si="1"/>
        <v>1.7500000000000002E-2</v>
      </c>
      <c r="H58" s="9">
        <v>7.3999999999999996E-2</v>
      </c>
      <c r="I58" s="9">
        <v>7.4999999999999997E-2</v>
      </c>
      <c r="J58" s="9">
        <f t="shared" si="2"/>
        <v>7.4499999999999997E-2</v>
      </c>
      <c r="K58" s="9">
        <v>1E-3</v>
      </c>
      <c r="L58" s="9">
        <v>2E-3</v>
      </c>
      <c r="M58" s="9">
        <f t="shared" si="3"/>
        <v>1.5E-3</v>
      </c>
      <c r="N58" s="9">
        <f t="shared" si="5"/>
        <v>0.85029429999999995</v>
      </c>
      <c r="O58" s="9">
        <f t="shared" si="4"/>
        <v>0.85029429999999995</v>
      </c>
    </row>
    <row r="59" spans="1:15" ht="15.75" customHeight="1" x14ac:dyDescent="0.35">
      <c r="A59" s="2">
        <v>77</v>
      </c>
      <c r="B59" s="9">
        <v>8.0000000000000002E-3</v>
      </c>
      <c r="C59" s="9">
        <v>8.0000000000000002E-3</v>
      </c>
      <c r="D59" s="9">
        <f t="shared" si="0"/>
        <v>8.0000000000000002E-3</v>
      </c>
      <c r="E59" s="9">
        <v>7.0000000000000001E-3</v>
      </c>
      <c r="F59" s="9">
        <v>7.0000000000000001E-3</v>
      </c>
      <c r="G59" s="9">
        <f t="shared" si="1"/>
        <v>7.0000000000000001E-3</v>
      </c>
      <c r="H59" s="9">
        <v>2.4E-2</v>
      </c>
      <c r="I59" s="9">
        <v>2.4E-2</v>
      </c>
      <c r="J59" s="9">
        <f t="shared" si="2"/>
        <v>2.4E-2</v>
      </c>
      <c r="K59" s="9">
        <v>1E-3</v>
      </c>
      <c r="L59" s="9">
        <v>1E-3</v>
      </c>
      <c r="M59" s="9">
        <f t="shared" si="3"/>
        <v>1E-3</v>
      </c>
      <c r="N59" s="9">
        <f t="shared" si="5"/>
        <v>0.27033550000000001</v>
      </c>
      <c r="O59" s="9">
        <f t="shared" si="4"/>
        <v>0.27033550000000001</v>
      </c>
    </row>
    <row r="60" spans="1:15" ht="15.75" customHeight="1" x14ac:dyDescent="0.35">
      <c r="A60" s="2">
        <v>78</v>
      </c>
      <c r="B60" s="9">
        <v>2.7E-2</v>
      </c>
      <c r="C60" s="9">
        <v>3.9E-2</v>
      </c>
      <c r="D60" s="9">
        <f t="shared" si="0"/>
        <v>3.3000000000000002E-2</v>
      </c>
      <c r="E60" s="9">
        <v>2.5000000000000001E-2</v>
      </c>
      <c r="F60" s="9">
        <v>3.5999999999999997E-2</v>
      </c>
      <c r="G60" s="9">
        <f t="shared" si="1"/>
        <v>3.0499999999999999E-2</v>
      </c>
      <c r="H60" s="9">
        <v>0.10100000000000001</v>
      </c>
      <c r="I60" s="9">
        <v>0.112</v>
      </c>
      <c r="J60" s="9">
        <f t="shared" si="2"/>
        <v>0.10650000000000001</v>
      </c>
      <c r="K60" s="9">
        <v>3.0000000000000001E-3</v>
      </c>
      <c r="L60" s="9">
        <v>1.2E-2</v>
      </c>
      <c r="M60" s="9">
        <f t="shared" si="3"/>
        <v>7.4999999999999997E-3</v>
      </c>
      <c r="N60" s="9">
        <f t="shared" si="5"/>
        <v>1.1970458500000001</v>
      </c>
      <c r="O60" s="9">
        <f t="shared" si="4"/>
        <v>1.1970458500000001</v>
      </c>
    </row>
    <row r="61" spans="1:15" ht="15.75" customHeight="1" x14ac:dyDescent="0.35">
      <c r="A61" s="2">
        <v>79</v>
      </c>
      <c r="B61" s="9">
        <v>7.0000000000000007E-2</v>
      </c>
      <c r="C61" s="9">
        <v>8.3000000000000004E-2</v>
      </c>
      <c r="D61" s="9">
        <f t="shared" si="0"/>
        <v>7.6500000000000012E-2</v>
      </c>
      <c r="E61" s="9">
        <v>6.0000000000000001E-3</v>
      </c>
      <c r="F61" s="9">
        <v>8.0000000000000002E-3</v>
      </c>
      <c r="G61" s="9">
        <f t="shared" si="1"/>
        <v>7.0000000000000001E-3</v>
      </c>
      <c r="H61" s="9">
        <v>4.3999999999999997E-2</v>
      </c>
      <c r="I61" s="9">
        <v>0.11899999999999999</v>
      </c>
      <c r="J61" s="9">
        <f t="shared" si="2"/>
        <v>8.1499999999999989E-2</v>
      </c>
      <c r="K61" s="9">
        <v>1E-3</v>
      </c>
      <c r="L61" s="9">
        <v>7.2999999999999995E-2</v>
      </c>
      <c r="M61" s="9">
        <f t="shared" si="3"/>
        <v>3.6999999999999998E-2</v>
      </c>
      <c r="N61" s="9">
        <f t="shared" si="5"/>
        <v>0.88289024999999999</v>
      </c>
      <c r="O61" s="9">
        <f t="shared" si="4"/>
        <v>0.88289024999999999</v>
      </c>
    </row>
    <row r="62" spans="1:15" ht="15.75" customHeight="1" x14ac:dyDescent="0.35">
      <c r="A62" s="2">
        <v>80</v>
      </c>
      <c r="B62" s="9">
        <v>5.0000000000000001E-3</v>
      </c>
      <c r="C62" s="9">
        <v>8.0000000000000002E-3</v>
      </c>
      <c r="D62" s="9">
        <f t="shared" si="0"/>
        <v>6.5000000000000006E-3</v>
      </c>
      <c r="E62" s="9">
        <v>5.0000000000000001E-3</v>
      </c>
      <c r="F62" s="9">
        <v>7.0000000000000001E-3</v>
      </c>
      <c r="G62" s="9">
        <f t="shared" si="1"/>
        <v>6.0000000000000001E-3</v>
      </c>
      <c r="H62" s="9">
        <v>2.5000000000000001E-2</v>
      </c>
      <c r="I62" s="9">
        <v>2.9000000000000001E-2</v>
      </c>
      <c r="J62" s="9">
        <f t="shared" si="2"/>
        <v>2.7000000000000003E-2</v>
      </c>
      <c r="K62" s="9">
        <v>1E-3</v>
      </c>
      <c r="L62" s="9">
        <v>1E-3</v>
      </c>
      <c r="M62" s="9">
        <f t="shared" si="3"/>
        <v>1E-3</v>
      </c>
      <c r="N62" s="9">
        <f t="shared" si="5"/>
        <v>0.30841445000000006</v>
      </c>
      <c r="O62" s="9">
        <f t="shared" si="4"/>
        <v>0.30841445000000006</v>
      </c>
    </row>
    <row r="63" spans="1:15" ht="15.75" customHeight="1" x14ac:dyDescent="0.35">
      <c r="A63" s="2">
        <v>187</v>
      </c>
      <c r="B63" s="9">
        <v>2.3E-2</v>
      </c>
      <c r="C63" s="9">
        <v>1.2999999999999999E-2</v>
      </c>
      <c r="D63" s="9">
        <f t="shared" si="0"/>
        <v>1.7999999999999999E-2</v>
      </c>
      <c r="E63" s="9">
        <v>2.1999999999999999E-2</v>
      </c>
      <c r="F63" s="9">
        <v>1.2E-2</v>
      </c>
      <c r="G63" s="9">
        <f t="shared" si="1"/>
        <v>1.7000000000000001E-2</v>
      </c>
      <c r="H63" s="9">
        <v>4.4999999999999998E-2</v>
      </c>
      <c r="I63" s="9">
        <v>3.5000000000000003E-2</v>
      </c>
      <c r="J63" s="9">
        <f t="shared" si="2"/>
        <v>0.04</v>
      </c>
      <c r="K63" s="9">
        <v>1.4999999999999999E-2</v>
      </c>
      <c r="L63" s="9">
        <v>4.0000000000000001E-3</v>
      </c>
      <c r="M63" s="9">
        <f t="shared" si="3"/>
        <v>9.4999999999999998E-3</v>
      </c>
      <c r="N63" s="9">
        <f t="shared" si="5"/>
        <v>0.42847859999999999</v>
      </c>
      <c r="O63" s="9">
        <f t="shared" si="4"/>
        <v>0.42847859999999999</v>
      </c>
    </row>
    <row r="64" spans="1:15" ht="15.75" customHeight="1" x14ac:dyDescent="0.35">
      <c r="A64" s="2">
        <v>188</v>
      </c>
      <c r="B64" s="9">
        <v>1.2E-2</v>
      </c>
      <c r="C64" s="9">
        <v>1.7999999999999999E-2</v>
      </c>
      <c r="D64" s="9">
        <f t="shared" si="0"/>
        <v>1.4999999999999999E-2</v>
      </c>
      <c r="E64" s="9">
        <v>1.2E-2</v>
      </c>
      <c r="F64" s="9">
        <v>1.9E-2</v>
      </c>
      <c r="G64" s="9">
        <f t="shared" si="1"/>
        <v>1.55E-2</v>
      </c>
      <c r="H64" s="9">
        <v>3.9E-2</v>
      </c>
      <c r="I64" s="9">
        <v>4.4999999999999998E-2</v>
      </c>
      <c r="J64" s="9">
        <f t="shared" si="2"/>
        <v>4.1999999999999996E-2</v>
      </c>
      <c r="K64" s="9">
        <v>3.0000000000000001E-3</v>
      </c>
      <c r="L64" s="9">
        <v>8.0000000000000002E-3</v>
      </c>
      <c r="M64" s="9">
        <f t="shared" si="3"/>
        <v>5.4999999999999997E-3</v>
      </c>
      <c r="N64" s="9">
        <f t="shared" si="5"/>
        <v>0.46170785000000003</v>
      </c>
      <c r="O64" s="9">
        <f t="shared" si="4"/>
        <v>0.46170785000000003</v>
      </c>
    </row>
    <row r="65" spans="1:15" ht="15.75" customHeight="1" x14ac:dyDescent="0.35">
      <c r="A65" s="2">
        <v>189</v>
      </c>
      <c r="B65" s="9">
        <v>8.9999999999999993E-3</v>
      </c>
      <c r="C65" s="9">
        <v>0.02</v>
      </c>
      <c r="D65" s="9">
        <f t="shared" si="0"/>
        <v>1.4499999999999999E-2</v>
      </c>
      <c r="E65" s="9">
        <v>8.9999999999999993E-3</v>
      </c>
      <c r="F65" s="9">
        <v>0.02</v>
      </c>
      <c r="G65" s="9">
        <f t="shared" si="1"/>
        <v>1.4499999999999999E-2</v>
      </c>
      <c r="H65" s="9">
        <v>2.1999999999999999E-2</v>
      </c>
      <c r="I65" s="9">
        <v>3.3000000000000002E-2</v>
      </c>
      <c r="J65" s="9">
        <f t="shared" si="2"/>
        <v>2.75E-2</v>
      </c>
      <c r="K65" s="9">
        <v>5.0000000000000001E-3</v>
      </c>
      <c r="L65" s="9">
        <v>1.4999999999999999E-2</v>
      </c>
      <c r="M65" s="9">
        <f t="shared" si="3"/>
        <v>0.01</v>
      </c>
      <c r="N65" s="9">
        <f t="shared" si="5"/>
        <v>0.28399370000000002</v>
      </c>
      <c r="O65" s="9">
        <f t="shared" si="4"/>
        <v>0.28399370000000002</v>
      </c>
    </row>
    <row r="66" spans="1:15" ht="15.75" customHeight="1" x14ac:dyDescent="0.35">
      <c r="A66" s="2">
        <v>190</v>
      </c>
      <c r="B66" s="9">
        <v>3.2000000000000001E-2</v>
      </c>
      <c r="C66" s="9">
        <v>0.02</v>
      </c>
      <c r="D66" s="9">
        <f t="shared" si="0"/>
        <v>2.6000000000000002E-2</v>
      </c>
      <c r="E66" s="9">
        <v>3.4000000000000002E-2</v>
      </c>
      <c r="F66" s="9">
        <v>2.1999999999999999E-2</v>
      </c>
      <c r="G66" s="9">
        <f t="shared" si="1"/>
        <v>2.8000000000000001E-2</v>
      </c>
      <c r="H66" s="9">
        <v>6.6000000000000003E-2</v>
      </c>
      <c r="I66" s="9">
        <v>4.5999999999999999E-2</v>
      </c>
      <c r="J66" s="9">
        <f t="shared" si="2"/>
        <v>5.6000000000000001E-2</v>
      </c>
      <c r="K66" s="9">
        <v>2.1000000000000001E-2</v>
      </c>
      <c r="L66" s="9">
        <v>1.2E-2</v>
      </c>
      <c r="M66" s="9">
        <f t="shared" si="3"/>
        <v>1.6500000000000001E-2</v>
      </c>
      <c r="N66" s="9">
        <f t="shared" si="5"/>
        <v>0.58768290000000001</v>
      </c>
      <c r="O66" s="9">
        <f t="shared" si="4"/>
        <v>0.58768290000000001</v>
      </c>
    </row>
    <row r="67" spans="1:15" ht="15.75" customHeight="1" x14ac:dyDescent="0.35">
      <c r="A67" s="2">
        <v>191</v>
      </c>
      <c r="B67" s="9">
        <v>1.2E-2</v>
      </c>
      <c r="C67" s="9">
        <v>2.1999999999999999E-2</v>
      </c>
      <c r="D67" s="9">
        <f t="shared" si="0"/>
        <v>1.7000000000000001E-2</v>
      </c>
      <c r="E67" s="9">
        <v>1.2999999999999999E-2</v>
      </c>
      <c r="F67" s="9">
        <v>2.3E-2</v>
      </c>
      <c r="G67" s="9">
        <f t="shared" si="1"/>
        <v>1.7999999999999999E-2</v>
      </c>
      <c r="H67" s="9">
        <v>2.4E-2</v>
      </c>
      <c r="I67" s="9">
        <v>4.2999999999999997E-2</v>
      </c>
      <c r="J67" s="9">
        <f t="shared" si="2"/>
        <v>3.3500000000000002E-2</v>
      </c>
      <c r="K67" s="9">
        <v>8.9999999999999993E-3</v>
      </c>
      <c r="L67" s="9">
        <v>1.4999999999999999E-2</v>
      </c>
      <c r="M67" s="9">
        <f t="shared" si="3"/>
        <v>1.2E-2</v>
      </c>
      <c r="N67" s="9">
        <f t="shared" si="5"/>
        <v>0.34584820000000005</v>
      </c>
      <c r="O67" s="9">
        <f t="shared" si="4"/>
        <v>0.34584820000000005</v>
      </c>
    </row>
    <row r="68" spans="1:15" ht="15.75" customHeight="1" x14ac:dyDescent="0.35">
      <c r="A68" s="2">
        <v>192</v>
      </c>
      <c r="B68" s="9">
        <v>5.5E-2</v>
      </c>
      <c r="C68" s="9">
        <v>0.112</v>
      </c>
      <c r="D68" s="9">
        <f t="shared" si="0"/>
        <v>8.3500000000000005E-2</v>
      </c>
      <c r="E68" s="9">
        <v>5.3999999999999999E-2</v>
      </c>
      <c r="F68" s="9">
        <v>0.11</v>
      </c>
      <c r="G68" s="9">
        <f t="shared" si="1"/>
        <v>8.2000000000000003E-2</v>
      </c>
      <c r="H68" s="9">
        <v>0.158</v>
      </c>
      <c r="I68" s="9">
        <v>0.21299999999999999</v>
      </c>
      <c r="J68" s="9">
        <f t="shared" si="2"/>
        <v>0.1855</v>
      </c>
      <c r="K68" s="9">
        <v>1.4999999999999999E-2</v>
      </c>
      <c r="L68" s="9">
        <v>6.5000000000000002E-2</v>
      </c>
      <c r="M68" s="9">
        <f t="shared" si="3"/>
        <v>0.04</v>
      </c>
      <c r="N68" s="9">
        <f t="shared" si="5"/>
        <v>1.9873344500000003</v>
      </c>
      <c r="O68" s="9">
        <f t="shared" si="4"/>
        <v>1.9873344500000003</v>
      </c>
    </row>
    <row r="69" spans="1:15" ht="15.75" customHeight="1" x14ac:dyDescent="0.35">
      <c r="A69" s="2">
        <v>193</v>
      </c>
      <c r="B69" s="9">
        <v>3.5000000000000003E-2</v>
      </c>
      <c r="C69" s="9">
        <v>4.8000000000000001E-2</v>
      </c>
      <c r="D69" s="9">
        <f t="shared" si="0"/>
        <v>4.1500000000000002E-2</v>
      </c>
      <c r="E69" s="9">
        <v>3.5000000000000003E-2</v>
      </c>
      <c r="F69" s="9">
        <v>4.7E-2</v>
      </c>
      <c r="G69" s="9">
        <f t="shared" si="1"/>
        <v>4.1000000000000002E-2</v>
      </c>
      <c r="H69" s="9">
        <v>4.5999999999999999E-2</v>
      </c>
      <c r="I69" s="9">
        <v>5.8000000000000003E-2</v>
      </c>
      <c r="J69" s="9">
        <f t="shared" si="2"/>
        <v>5.2000000000000005E-2</v>
      </c>
      <c r="K69" s="9">
        <v>2.7E-2</v>
      </c>
      <c r="L69" s="9">
        <v>4.1000000000000002E-2</v>
      </c>
      <c r="M69" s="9">
        <f t="shared" si="3"/>
        <v>3.4000000000000002E-2</v>
      </c>
      <c r="N69" s="9">
        <f t="shared" ref="N69:N82" si="6">(-0.3319*D69)-(1.7485*G69)+(11.9442*J69)-(1.4306*M69)</f>
        <v>0.48699565</v>
      </c>
      <c r="O69" s="9">
        <f t="shared" si="4"/>
        <v>0.48699565</v>
      </c>
    </row>
    <row r="70" spans="1:15" ht="15.75" customHeight="1" x14ac:dyDescent="0.35">
      <c r="A70" s="2">
        <v>194</v>
      </c>
      <c r="B70" s="9">
        <v>6.6000000000000003E-2</v>
      </c>
      <c r="C70" s="9">
        <v>9.9000000000000005E-2</v>
      </c>
      <c r="D70" s="9">
        <f t="shared" si="0"/>
        <v>8.2500000000000004E-2</v>
      </c>
      <c r="E70" s="9">
        <v>6.4000000000000001E-2</v>
      </c>
      <c r="F70" s="9">
        <v>0.124</v>
      </c>
      <c r="G70" s="9">
        <f t="shared" si="1"/>
        <v>9.4E-2</v>
      </c>
      <c r="H70" s="9">
        <v>0.187</v>
      </c>
      <c r="I70" s="9">
        <v>0.248</v>
      </c>
      <c r="J70" s="9">
        <f t="shared" si="2"/>
        <v>0.2175</v>
      </c>
      <c r="K70" s="9">
        <v>1.6E-2</v>
      </c>
      <c r="L70" s="9">
        <v>7.3999999999999996E-2</v>
      </c>
      <c r="M70" s="9">
        <f t="shared" si="3"/>
        <v>4.4999999999999998E-2</v>
      </c>
      <c r="N70" s="9">
        <f t="shared" si="6"/>
        <v>2.3417457499999998</v>
      </c>
      <c r="O70" s="9">
        <f t="shared" si="4"/>
        <v>2.3417457499999998</v>
      </c>
    </row>
    <row r="71" spans="1:15" ht="15.75" customHeight="1" x14ac:dyDescent="0.35">
      <c r="A71" s="2">
        <v>195</v>
      </c>
      <c r="B71" s="9">
        <v>7.5999999999999998E-2</v>
      </c>
      <c r="C71" s="9">
        <v>8.7999999999999995E-2</v>
      </c>
      <c r="D71" s="9">
        <f t="shared" si="0"/>
        <v>8.199999999999999E-2</v>
      </c>
      <c r="E71" s="9">
        <v>7.2999999999999995E-2</v>
      </c>
      <c r="F71" s="9">
        <v>8.5999999999999993E-2</v>
      </c>
      <c r="G71" s="9">
        <f t="shared" si="1"/>
        <v>7.9499999999999987E-2</v>
      </c>
      <c r="H71" s="9">
        <v>0.13500000000000001</v>
      </c>
      <c r="I71" s="9">
        <v>0.14799999999999999</v>
      </c>
      <c r="J71" s="9">
        <f t="shared" si="2"/>
        <v>0.14150000000000001</v>
      </c>
      <c r="K71" s="9">
        <v>1.2999999999999999E-2</v>
      </c>
      <c r="L71" s="9">
        <v>2.4E-2</v>
      </c>
      <c r="M71" s="9">
        <f t="shared" si="3"/>
        <v>1.8499999999999999E-2</v>
      </c>
      <c r="N71" s="9">
        <f t="shared" si="6"/>
        <v>1.4974166500000003</v>
      </c>
      <c r="O71" s="9">
        <f t="shared" si="4"/>
        <v>1.4974166500000003</v>
      </c>
    </row>
    <row r="72" spans="1:15" ht="15.75" customHeight="1" x14ac:dyDescent="0.35">
      <c r="A72" s="2">
        <v>196</v>
      </c>
      <c r="B72" s="9">
        <v>4.3999999999999997E-2</v>
      </c>
      <c r="C72" s="9">
        <v>5.5E-2</v>
      </c>
      <c r="D72" s="9">
        <f t="shared" si="0"/>
        <v>4.9500000000000002E-2</v>
      </c>
      <c r="E72" s="9">
        <v>4.2000000000000003E-2</v>
      </c>
      <c r="F72" s="9">
        <v>5.2999999999999999E-2</v>
      </c>
      <c r="G72" s="9">
        <f t="shared" si="1"/>
        <v>4.7500000000000001E-2</v>
      </c>
      <c r="H72" s="9">
        <v>0.124</v>
      </c>
      <c r="I72" s="9">
        <v>0.13600000000000001</v>
      </c>
      <c r="J72" s="9">
        <f t="shared" si="2"/>
        <v>0.13</v>
      </c>
      <c r="K72" s="9">
        <v>0.01</v>
      </c>
      <c r="L72" s="9">
        <v>0.02</v>
      </c>
      <c r="M72" s="9">
        <f t="shared" si="3"/>
        <v>1.4999999999999999E-2</v>
      </c>
      <c r="N72" s="9">
        <f t="shared" si="6"/>
        <v>1.4318042000000002</v>
      </c>
      <c r="O72" s="9">
        <f t="shared" si="4"/>
        <v>1.4318042000000002</v>
      </c>
    </row>
    <row r="73" spans="1:15" ht="15.75" customHeight="1" x14ac:dyDescent="0.35">
      <c r="A73" s="2">
        <v>197</v>
      </c>
      <c r="B73" s="9">
        <v>4.2000000000000003E-2</v>
      </c>
      <c r="C73" s="9">
        <v>4.2000000000000003E-2</v>
      </c>
      <c r="D73" s="9">
        <f t="shared" si="0"/>
        <v>4.2000000000000003E-2</v>
      </c>
      <c r="E73" s="9">
        <v>4.2000000000000003E-2</v>
      </c>
      <c r="F73" s="9">
        <v>4.2999999999999997E-2</v>
      </c>
      <c r="G73" s="9">
        <f t="shared" si="1"/>
        <v>4.2499999999999996E-2</v>
      </c>
      <c r="H73" s="9">
        <v>0.14499999999999999</v>
      </c>
      <c r="I73" s="9">
        <v>0.14899999999999999</v>
      </c>
      <c r="J73" s="9">
        <f t="shared" si="2"/>
        <v>0.14699999999999999</v>
      </c>
      <c r="K73" s="9">
        <v>3.0000000000000001E-3</v>
      </c>
      <c r="L73" s="9">
        <v>3.0000000000000001E-3</v>
      </c>
      <c r="M73" s="9">
        <f t="shared" si="3"/>
        <v>3.0000000000000001E-3</v>
      </c>
      <c r="N73" s="9">
        <f t="shared" si="6"/>
        <v>1.66325455</v>
      </c>
      <c r="O73" s="9">
        <f t="shared" si="4"/>
        <v>1.66325455</v>
      </c>
    </row>
    <row r="74" spans="1:15" ht="15.75" customHeight="1" x14ac:dyDescent="0.35">
      <c r="A74" s="2">
        <v>198</v>
      </c>
      <c r="B74" s="9">
        <v>3.2000000000000001E-2</v>
      </c>
      <c r="C74" s="9">
        <v>0.03</v>
      </c>
      <c r="D74" s="9">
        <f t="shared" si="0"/>
        <v>3.1E-2</v>
      </c>
      <c r="E74" s="9">
        <v>3.1E-2</v>
      </c>
      <c r="F74" s="9">
        <v>2.9000000000000001E-2</v>
      </c>
      <c r="G74" s="9">
        <f t="shared" si="1"/>
        <v>0.03</v>
      </c>
      <c r="H74" s="9">
        <v>8.7999999999999995E-2</v>
      </c>
      <c r="I74" s="9">
        <v>8.7999999999999995E-2</v>
      </c>
      <c r="J74" s="9">
        <f t="shared" si="2"/>
        <v>8.7999999999999995E-2</v>
      </c>
      <c r="K74" s="9">
        <v>8.0000000000000002E-3</v>
      </c>
      <c r="L74" s="9">
        <v>5.0000000000000001E-3</v>
      </c>
      <c r="M74" s="9">
        <f t="shared" si="3"/>
        <v>6.5000000000000006E-3</v>
      </c>
      <c r="N74" s="9">
        <f t="shared" si="6"/>
        <v>0.97904680000000011</v>
      </c>
      <c r="O74" s="9">
        <f t="shared" si="4"/>
        <v>0.97904680000000011</v>
      </c>
    </row>
    <row r="75" spans="1:15" ht="15.75" customHeight="1" x14ac:dyDescent="0.35">
      <c r="A75" s="2">
        <v>199</v>
      </c>
      <c r="B75" s="9">
        <v>6.4000000000000001E-2</v>
      </c>
      <c r="C75" s="9">
        <v>5.6000000000000001E-2</v>
      </c>
      <c r="D75" s="9">
        <f t="shared" si="0"/>
        <v>0.06</v>
      </c>
      <c r="E75" s="9">
        <v>6.3E-2</v>
      </c>
      <c r="F75" s="9">
        <v>5.3999999999999999E-2</v>
      </c>
      <c r="G75" s="9">
        <f t="shared" si="1"/>
        <v>5.8499999999999996E-2</v>
      </c>
      <c r="H75" s="9">
        <v>0.16</v>
      </c>
      <c r="I75" s="9">
        <v>0.155</v>
      </c>
      <c r="J75" s="9">
        <f t="shared" si="2"/>
        <v>0.1575</v>
      </c>
      <c r="K75" s="9">
        <v>2.4E-2</v>
      </c>
      <c r="L75" s="9">
        <v>1.7000000000000001E-2</v>
      </c>
      <c r="M75" s="9">
        <f t="shared" si="3"/>
        <v>2.0500000000000001E-2</v>
      </c>
      <c r="N75" s="9">
        <f t="shared" si="6"/>
        <v>1.7296829499999999</v>
      </c>
      <c r="O75" s="9">
        <f t="shared" si="4"/>
        <v>1.7296829499999999</v>
      </c>
    </row>
    <row r="76" spans="1:15" ht="15.75" customHeight="1" x14ac:dyDescent="0.35">
      <c r="A76" s="2">
        <v>200</v>
      </c>
      <c r="B76" s="9">
        <v>4.7E-2</v>
      </c>
      <c r="C76" s="9">
        <v>4.9000000000000002E-2</v>
      </c>
      <c r="D76" s="9">
        <f t="shared" si="0"/>
        <v>4.8000000000000001E-2</v>
      </c>
      <c r="E76" s="9">
        <v>4.5999999999999999E-2</v>
      </c>
      <c r="F76" s="9">
        <v>4.8000000000000001E-2</v>
      </c>
      <c r="G76" s="9">
        <f t="shared" si="1"/>
        <v>4.7E-2</v>
      </c>
      <c r="H76" s="9">
        <v>0.121</v>
      </c>
      <c r="I76" s="9">
        <v>0.124</v>
      </c>
      <c r="J76" s="9">
        <f t="shared" si="2"/>
        <v>0.1225</v>
      </c>
      <c r="K76" s="9">
        <v>1.7000000000000001E-2</v>
      </c>
      <c r="L76" s="9">
        <v>1.7999999999999999E-2</v>
      </c>
      <c r="M76" s="9">
        <f t="shared" si="3"/>
        <v>1.7500000000000002E-2</v>
      </c>
      <c r="N76" s="9">
        <f t="shared" si="6"/>
        <v>1.3400183000000001</v>
      </c>
      <c r="O76" s="9">
        <f t="shared" si="4"/>
        <v>1.3400183000000001</v>
      </c>
    </row>
    <row r="77" spans="1:15" ht="15.75" customHeight="1" x14ac:dyDescent="0.35">
      <c r="A77" s="2">
        <v>201</v>
      </c>
      <c r="B77" s="9">
        <v>0.10100000000000001</v>
      </c>
      <c r="C77" s="9">
        <v>0.10299999999999999</v>
      </c>
      <c r="D77" s="9">
        <f t="shared" si="0"/>
        <v>0.10200000000000001</v>
      </c>
      <c r="E77" s="9">
        <v>0.10299999999999999</v>
      </c>
      <c r="F77" s="9">
        <v>0.10299999999999999</v>
      </c>
      <c r="G77" s="9">
        <f t="shared" si="1"/>
        <v>0.10299999999999999</v>
      </c>
      <c r="H77" s="9">
        <v>0.30099999999999999</v>
      </c>
      <c r="I77" s="9">
        <v>0.30199999999999999</v>
      </c>
      <c r="J77" s="9">
        <f t="shared" si="2"/>
        <v>0.30149999999999999</v>
      </c>
      <c r="K77" s="9">
        <v>2.4E-2</v>
      </c>
      <c r="L77" s="9">
        <v>2.5000000000000001E-2</v>
      </c>
      <c r="M77" s="9">
        <f t="shared" si="3"/>
        <v>2.4500000000000001E-2</v>
      </c>
      <c r="N77" s="9">
        <f t="shared" si="6"/>
        <v>3.3521773000000001</v>
      </c>
      <c r="O77" s="9">
        <f t="shared" si="4"/>
        <v>3.3521773000000001</v>
      </c>
    </row>
    <row r="78" spans="1:15" ht="15.75" customHeight="1" x14ac:dyDescent="0.35">
      <c r="A78" s="2">
        <v>202</v>
      </c>
      <c r="B78" s="9">
        <v>4.8000000000000001E-2</v>
      </c>
      <c r="C78" s="9">
        <v>4.7E-2</v>
      </c>
      <c r="D78" s="9">
        <f t="shared" si="0"/>
        <v>4.7500000000000001E-2</v>
      </c>
      <c r="E78" s="9">
        <v>4.7E-2</v>
      </c>
      <c r="F78" s="9">
        <v>4.7E-2</v>
      </c>
      <c r="G78" s="9">
        <f t="shared" si="1"/>
        <v>4.7E-2</v>
      </c>
      <c r="H78" s="9">
        <v>0.14899999999999999</v>
      </c>
      <c r="I78" s="9">
        <v>0.14899999999999999</v>
      </c>
      <c r="J78" s="9">
        <f t="shared" si="2"/>
        <v>0.14899999999999999</v>
      </c>
      <c r="K78" s="9">
        <v>1.4E-2</v>
      </c>
      <c r="L78" s="9">
        <v>1.2E-2</v>
      </c>
      <c r="M78" s="9">
        <f t="shared" si="3"/>
        <v>1.3000000000000001E-2</v>
      </c>
      <c r="N78" s="9">
        <f t="shared" si="6"/>
        <v>1.6631432500000001</v>
      </c>
      <c r="O78" s="9">
        <f t="shared" si="4"/>
        <v>1.6631432500000001</v>
      </c>
    </row>
    <row r="79" spans="1:15" ht="15.75" customHeight="1" x14ac:dyDescent="0.35">
      <c r="A79" s="2">
        <v>203</v>
      </c>
      <c r="B79" s="9">
        <v>7.9000000000000001E-2</v>
      </c>
      <c r="C79" s="9">
        <v>8.1000000000000003E-2</v>
      </c>
      <c r="D79" s="9">
        <f t="shared" si="0"/>
        <v>0.08</v>
      </c>
      <c r="E79" s="9">
        <v>7.6999999999999999E-2</v>
      </c>
      <c r="F79" s="9">
        <v>7.8E-2</v>
      </c>
      <c r="G79" s="9">
        <f t="shared" si="1"/>
        <v>7.7499999999999999E-2</v>
      </c>
      <c r="H79" s="9">
        <v>0.249</v>
      </c>
      <c r="I79" s="9">
        <v>0.253</v>
      </c>
      <c r="J79" s="9">
        <f t="shared" si="2"/>
        <v>0.251</v>
      </c>
      <c r="K79" s="9">
        <v>2.8000000000000001E-2</v>
      </c>
      <c r="L79" s="9">
        <v>2.9000000000000001E-2</v>
      </c>
      <c r="M79" s="9">
        <f t="shared" si="3"/>
        <v>2.8500000000000001E-2</v>
      </c>
      <c r="N79" s="9">
        <f t="shared" si="6"/>
        <v>2.7951613499999999</v>
      </c>
      <c r="O79" s="9">
        <f t="shared" si="4"/>
        <v>2.7951613499999999</v>
      </c>
    </row>
    <row r="80" spans="1:15" ht="15.75" customHeight="1" x14ac:dyDescent="0.35">
      <c r="A80" s="2">
        <v>204</v>
      </c>
      <c r="B80" s="9">
        <v>2.1000000000000001E-2</v>
      </c>
      <c r="C80" s="9">
        <v>2.3E-2</v>
      </c>
      <c r="D80" s="9">
        <f t="shared" si="0"/>
        <v>2.1999999999999999E-2</v>
      </c>
      <c r="E80" s="9">
        <v>2.1999999999999999E-2</v>
      </c>
      <c r="F80" s="9">
        <v>2.4E-2</v>
      </c>
      <c r="G80" s="9">
        <f t="shared" si="1"/>
        <v>2.3E-2</v>
      </c>
      <c r="H80" s="9">
        <v>7.2999999999999995E-2</v>
      </c>
      <c r="I80" s="9">
        <v>7.4999999999999997E-2</v>
      </c>
      <c r="J80" s="9">
        <f t="shared" si="2"/>
        <v>7.3999999999999996E-2</v>
      </c>
      <c r="K80" s="9">
        <v>6.0000000000000001E-3</v>
      </c>
      <c r="L80" s="9">
        <v>7.0000000000000001E-3</v>
      </c>
      <c r="M80" s="9">
        <f t="shared" si="3"/>
        <v>6.5000000000000006E-3</v>
      </c>
      <c r="N80" s="9">
        <f t="shared" si="6"/>
        <v>0.82705459999999997</v>
      </c>
      <c r="O80" s="9">
        <f t="shared" si="4"/>
        <v>0.82705459999999997</v>
      </c>
    </row>
    <row r="81" spans="1:15" ht="15.75" customHeight="1" x14ac:dyDescent="0.35">
      <c r="A81" s="2">
        <v>205</v>
      </c>
      <c r="B81" s="9">
        <v>4.7E-2</v>
      </c>
      <c r="C81" s="9">
        <v>4.8000000000000001E-2</v>
      </c>
      <c r="D81" s="9">
        <f t="shared" si="0"/>
        <v>4.7500000000000001E-2</v>
      </c>
      <c r="E81" s="9">
        <v>4.4999999999999998E-2</v>
      </c>
      <c r="F81" s="9">
        <v>4.5999999999999999E-2</v>
      </c>
      <c r="G81" s="9">
        <f t="shared" si="1"/>
        <v>4.5499999999999999E-2</v>
      </c>
      <c r="H81" s="9">
        <v>0.14899999999999999</v>
      </c>
      <c r="I81" s="9">
        <v>0.153</v>
      </c>
      <c r="J81" s="9">
        <f t="shared" si="2"/>
        <v>0.151</v>
      </c>
      <c r="K81" s="9">
        <v>1.4E-2</v>
      </c>
      <c r="L81" s="9">
        <v>1.4E-2</v>
      </c>
      <c r="M81" s="9">
        <f t="shared" si="3"/>
        <v>1.4E-2</v>
      </c>
      <c r="N81" s="9">
        <f t="shared" si="6"/>
        <v>1.6882238000000001</v>
      </c>
      <c r="O81" s="9">
        <f t="shared" si="4"/>
        <v>1.6882238000000001</v>
      </c>
    </row>
    <row r="82" spans="1:15" ht="15.75" customHeight="1" x14ac:dyDescent="0.35">
      <c r="A82" s="2">
        <v>206</v>
      </c>
      <c r="B82" s="9">
        <v>4.7E-2</v>
      </c>
      <c r="C82" s="9">
        <v>4.7E-2</v>
      </c>
      <c r="D82" s="9">
        <f t="shared" si="0"/>
        <v>4.7E-2</v>
      </c>
      <c r="E82" s="9">
        <v>4.5999999999999999E-2</v>
      </c>
      <c r="F82" s="9">
        <v>4.7E-2</v>
      </c>
      <c r="G82" s="9">
        <f t="shared" si="1"/>
        <v>4.65E-2</v>
      </c>
      <c r="H82" s="9">
        <v>0.13300000000000001</v>
      </c>
      <c r="I82" s="9">
        <v>0.13400000000000001</v>
      </c>
      <c r="J82" s="9">
        <f t="shared" si="2"/>
        <v>0.13350000000000001</v>
      </c>
      <c r="K82" s="9">
        <v>1.7000000000000001E-2</v>
      </c>
      <c r="L82" s="9">
        <v>1.4999999999999999E-2</v>
      </c>
      <c r="M82" s="9">
        <f t="shared" si="3"/>
        <v>1.6E-2</v>
      </c>
      <c r="N82" s="9">
        <f t="shared" si="6"/>
        <v>1.4747565499999999</v>
      </c>
      <c r="O82" s="9">
        <f t="shared" si="4"/>
        <v>1.4747565499999999</v>
      </c>
    </row>
    <row r="83" spans="1:15" ht="15.75" customHeight="1" x14ac:dyDescent="0.35"/>
    <row r="84" spans="1:15" ht="15.75" customHeight="1" x14ac:dyDescent="0.35"/>
    <row r="85" spans="1:15" ht="15.75" customHeight="1" x14ac:dyDescent="0.35"/>
    <row r="86" spans="1:15" ht="15.75" customHeight="1" x14ac:dyDescent="0.35"/>
    <row r="87" spans="1:15" ht="15.75" customHeight="1" x14ac:dyDescent="0.35"/>
    <row r="88" spans="1:15" ht="15.75" customHeight="1" x14ac:dyDescent="0.35"/>
    <row r="89" spans="1:15" ht="15.75" customHeight="1" x14ac:dyDescent="0.35"/>
    <row r="90" spans="1:15" ht="15.75" customHeight="1" x14ac:dyDescent="0.35"/>
    <row r="91" spans="1:15" ht="15.75" customHeight="1" x14ac:dyDescent="0.35"/>
    <row r="92" spans="1:15" ht="15.75" customHeight="1" x14ac:dyDescent="0.35"/>
    <row r="93" spans="1:15" ht="15.75" customHeight="1" x14ac:dyDescent="0.35"/>
    <row r="94" spans="1:15" ht="15.75" customHeight="1" x14ac:dyDescent="0.35"/>
    <row r="95" spans="1:15" ht="15.75" customHeight="1" x14ac:dyDescent="0.35"/>
    <row r="96" spans="1:15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hyperlinks>
    <hyperlink ref="Q1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1.25" defaultRowHeight="15" customHeight="1" x14ac:dyDescent="0.35"/>
  <cols>
    <col min="1" max="7" width="10.58203125" customWidth="1"/>
    <col min="8" max="8" width="13.6640625" customWidth="1"/>
    <col min="9" max="9" width="12.08203125" customWidth="1"/>
    <col min="10" max="26" width="10.58203125" customWidth="1"/>
  </cols>
  <sheetData>
    <row r="1" spans="1:9" ht="15.75" customHeight="1" x14ac:dyDescent="0.3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4" t="s">
        <v>8</v>
      </c>
      <c r="G1" s="2" t="s">
        <v>14</v>
      </c>
      <c r="H1" s="2" t="s">
        <v>17</v>
      </c>
      <c r="I1" s="2" t="s">
        <v>18</v>
      </c>
    </row>
    <row r="2" spans="1:9" ht="15.75" customHeight="1" x14ac:dyDescent="0.35">
      <c r="A2" s="2" t="s">
        <v>19</v>
      </c>
      <c r="B2" s="2">
        <v>1</v>
      </c>
      <c r="C2" s="2">
        <v>4</v>
      </c>
      <c r="D2" s="2">
        <v>10.603999999999999</v>
      </c>
      <c r="E2" s="2">
        <v>330.84615384615387</v>
      </c>
      <c r="F2" s="2">
        <v>2.3925097329999998</v>
      </c>
      <c r="G2" s="2">
        <v>5140000</v>
      </c>
      <c r="H2" s="6">
        <v>484722.74613353453</v>
      </c>
      <c r="I2" s="2">
        <f t="shared" ref="I2:I18" si="0">F2/G2</f>
        <v>4.654688196498054E-7</v>
      </c>
    </row>
    <row r="3" spans="1:9" ht="15.75" customHeight="1" x14ac:dyDescent="0.35">
      <c r="A3" s="2" t="s">
        <v>19</v>
      </c>
      <c r="B3" s="2">
        <v>2</v>
      </c>
      <c r="C3" s="2">
        <v>3</v>
      </c>
      <c r="D3" s="2">
        <v>5.3959999999999999</v>
      </c>
      <c r="E3" s="2">
        <v>502.76923076923077</v>
      </c>
      <c r="F3" s="2">
        <v>1.6387392329999999</v>
      </c>
      <c r="G3" s="2">
        <v>2497500</v>
      </c>
      <c r="H3" s="6">
        <v>462842.84655300225</v>
      </c>
      <c r="I3" s="2">
        <f t="shared" si="0"/>
        <v>6.5615184504504498E-7</v>
      </c>
    </row>
    <row r="4" spans="1:9" ht="15.75" customHeight="1" x14ac:dyDescent="0.35">
      <c r="A4" s="2" t="s">
        <v>19</v>
      </c>
      <c r="B4" s="2">
        <v>3</v>
      </c>
      <c r="C4" s="2">
        <v>3</v>
      </c>
      <c r="D4" s="2">
        <v>3.4889999999999999</v>
      </c>
      <c r="E4" s="2">
        <v>342.38461538461542</v>
      </c>
      <c r="F4" s="2">
        <v>1.8691070663333331</v>
      </c>
      <c r="G4" s="2">
        <v>3412500</v>
      </c>
      <c r="H4" s="6">
        <v>978073.94668959593</v>
      </c>
      <c r="I4" s="2">
        <f t="shared" si="0"/>
        <v>5.4772368244200233E-7</v>
      </c>
    </row>
    <row r="5" spans="1:9" ht="15.75" customHeight="1" x14ac:dyDescent="0.35">
      <c r="A5" s="2" t="s">
        <v>19</v>
      </c>
      <c r="B5" s="2">
        <v>4</v>
      </c>
      <c r="C5" s="2">
        <v>3</v>
      </c>
      <c r="D5" s="2">
        <v>5.7720000000000002</v>
      </c>
      <c r="E5" s="2">
        <v>271.61538461538464</v>
      </c>
      <c r="F5" s="2">
        <v>2.1499627663333341</v>
      </c>
      <c r="G5" s="2">
        <v>4492500</v>
      </c>
      <c r="H5" s="6">
        <v>778326.40332640335</v>
      </c>
      <c r="I5" s="2">
        <f t="shared" si="0"/>
        <v>4.7856711548877771E-7</v>
      </c>
    </row>
    <row r="6" spans="1:9" ht="15.75" customHeight="1" x14ac:dyDescent="0.35">
      <c r="A6" s="2" t="s">
        <v>19</v>
      </c>
      <c r="B6" s="2">
        <v>5</v>
      </c>
      <c r="C6" s="2">
        <v>3</v>
      </c>
      <c r="D6" s="2">
        <v>6.6040000000000001</v>
      </c>
      <c r="E6" s="2">
        <v>432.00000000000011</v>
      </c>
      <c r="F6" s="2">
        <v>1.7551467996666665</v>
      </c>
      <c r="G6" s="2">
        <v>4770000</v>
      </c>
      <c r="H6" s="6">
        <v>722289.52150211995</v>
      </c>
      <c r="I6" s="2">
        <f t="shared" si="0"/>
        <v>3.6795530391334729E-7</v>
      </c>
    </row>
    <row r="7" spans="1:9" ht="15.75" customHeight="1" x14ac:dyDescent="0.35">
      <c r="A7" s="2" t="s">
        <v>19</v>
      </c>
      <c r="B7" s="2">
        <v>6</v>
      </c>
      <c r="C7" s="2">
        <v>3</v>
      </c>
      <c r="D7" s="2">
        <v>2.5630000000000002</v>
      </c>
      <c r="E7" s="2">
        <v>230.07692307692307</v>
      </c>
      <c r="F7" s="2">
        <v>1.3361906663333332</v>
      </c>
      <c r="G7" s="2">
        <v>3262500</v>
      </c>
      <c r="H7" s="6">
        <v>1272922.3566133436</v>
      </c>
      <c r="I7" s="2">
        <f t="shared" si="0"/>
        <v>4.0956035749680711E-7</v>
      </c>
    </row>
    <row r="8" spans="1:9" ht="15.75" customHeight="1" x14ac:dyDescent="0.35">
      <c r="A8" s="2" t="s">
        <v>19</v>
      </c>
      <c r="B8" s="2">
        <v>7</v>
      </c>
      <c r="C8" s="2">
        <v>3</v>
      </c>
      <c r="D8" s="2">
        <v>3.1469999999999998</v>
      </c>
      <c r="E8" s="2">
        <v>595.46153846153845</v>
      </c>
      <c r="F8" s="2">
        <v>1.7137124996666664</v>
      </c>
      <c r="G8" s="2">
        <v>5272500</v>
      </c>
      <c r="H8" s="6">
        <v>1675405.1477597712</v>
      </c>
      <c r="I8" s="2">
        <f t="shared" si="0"/>
        <v>3.2502844943891255E-7</v>
      </c>
    </row>
    <row r="9" spans="1:9" ht="15.75" customHeight="1" x14ac:dyDescent="0.35">
      <c r="A9" s="2" t="s">
        <v>19</v>
      </c>
      <c r="B9" s="2">
        <v>8</v>
      </c>
      <c r="C9" s="2">
        <v>3</v>
      </c>
      <c r="D9" s="2">
        <v>4.8620000000000001</v>
      </c>
      <c r="E9" s="2">
        <v>820.84615384615404</v>
      </c>
      <c r="F9" s="2">
        <v>3.4251546663333334</v>
      </c>
      <c r="G9" s="2">
        <v>7042500</v>
      </c>
      <c r="H9" s="6">
        <v>1448477.9925956395</v>
      </c>
      <c r="I9" s="2">
        <f t="shared" si="0"/>
        <v>4.8635494019642645E-7</v>
      </c>
    </row>
    <row r="10" spans="1:9" ht="15.75" customHeight="1" x14ac:dyDescent="0.35">
      <c r="A10" s="2" t="s">
        <v>19</v>
      </c>
      <c r="B10" s="2">
        <v>9</v>
      </c>
      <c r="C10" s="2">
        <v>3</v>
      </c>
      <c r="D10" s="2">
        <v>3.2850000000000001</v>
      </c>
      <c r="E10" s="2">
        <v>520.07692307692321</v>
      </c>
      <c r="F10" s="2">
        <v>2.6972905996666667</v>
      </c>
      <c r="G10" s="2">
        <v>4717500</v>
      </c>
      <c r="H10" s="6">
        <v>1436073.0593607305</v>
      </c>
      <c r="I10" s="2">
        <f t="shared" si="0"/>
        <v>5.7176271323087791E-7</v>
      </c>
    </row>
    <row r="11" spans="1:9" ht="15.75" customHeight="1" x14ac:dyDescent="0.35">
      <c r="A11" s="2" t="s">
        <v>19</v>
      </c>
      <c r="B11" s="2">
        <v>10</v>
      </c>
      <c r="C11" s="2">
        <v>3</v>
      </c>
      <c r="D11" s="2">
        <v>4.3170000000000002</v>
      </c>
      <c r="E11" s="2">
        <v>402.38461538461547</v>
      </c>
      <c r="F11" s="2">
        <v>2.8381383663333337</v>
      </c>
      <c r="G11" s="2">
        <v>2257500</v>
      </c>
      <c r="H11" s="6">
        <v>522932.5920778318</v>
      </c>
      <c r="I11" s="2">
        <f t="shared" si="0"/>
        <v>1.2572041489848653E-6</v>
      </c>
    </row>
    <row r="12" spans="1:9" ht="15.75" customHeight="1" x14ac:dyDescent="0.35">
      <c r="A12" s="2" t="s">
        <v>62</v>
      </c>
      <c r="B12" s="2">
        <v>1</v>
      </c>
      <c r="C12" s="2">
        <v>3</v>
      </c>
      <c r="D12" s="2">
        <v>4.5910000000000002</v>
      </c>
      <c r="E12" s="2">
        <v>257.38461538461536</v>
      </c>
      <c r="F12" s="2">
        <v>1.9834379330000003</v>
      </c>
      <c r="G12" s="2">
        <v>3547500</v>
      </c>
      <c r="H12" s="6">
        <v>772707.47113918536</v>
      </c>
      <c r="I12" s="2">
        <f t="shared" si="0"/>
        <v>5.5910864918957021E-7</v>
      </c>
    </row>
    <row r="13" spans="1:9" ht="15.75" customHeight="1" x14ac:dyDescent="0.35">
      <c r="A13" s="2" t="s">
        <v>62</v>
      </c>
      <c r="B13" s="2">
        <v>2</v>
      </c>
      <c r="C13" s="2">
        <v>3</v>
      </c>
      <c r="D13" s="2">
        <v>5.91</v>
      </c>
      <c r="E13" s="2">
        <v>275.46153846153851</v>
      </c>
      <c r="F13" s="2">
        <v>2.4098080663333334</v>
      </c>
      <c r="G13" s="2">
        <v>2955000</v>
      </c>
      <c r="H13" s="6">
        <v>500000</v>
      </c>
      <c r="I13" s="2">
        <f t="shared" si="0"/>
        <v>8.1550188369994368E-7</v>
      </c>
    </row>
    <row r="14" spans="1:9" ht="15.75" customHeight="1" x14ac:dyDescent="0.35">
      <c r="A14" s="2" t="s">
        <v>62</v>
      </c>
      <c r="B14" s="2">
        <v>3</v>
      </c>
      <c r="C14" s="2">
        <v>3</v>
      </c>
      <c r="D14" s="2">
        <v>3.9750000000000001</v>
      </c>
      <c r="E14" s="2">
        <v>254.69230769230771</v>
      </c>
      <c r="F14" s="2">
        <v>2.5429532663333334</v>
      </c>
      <c r="G14" s="2">
        <v>5820000</v>
      </c>
      <c r="H14" s="6">
        <v>1464150.9433962263</v>
      </c>
      <c r="I14" s="2">
        <f t="shared" si="0"/>
        <v>4.3693355091638032E-7</v>
      </c>
    </row>
    <row r="15" spans="1:9" ht="15.75" customHeight="1" x14ac:dyDescent="0.35">
      <c r="A15" s="2" t="s">
        <v>62</v>
      </c>
      <c r="B15" s="2">
        <v>4</v>
      </c>
      <c r="C15" s="2">
        <v>3</v>
      </c>
      <c r="D15" s="2">
        <v>3.5939999999999999</v>
      </c>
      <c r="E15" s="2">
        <v>157.38461538461544</v>
      </c>
      <c r="F15" s="2">
        <v>1.3829579663333331</v>
      </c>
      <c r="G15" s="2">
        <v>4260000</v>
      </c>
      <c r="H15" s="6">
        <v>1185308.8480801336</v>
      </c>
      <c r="I15" s="2">
        <f t="shared" si="0"/>
        <v>3.2463802026604065E-7</v>
      </c>
    </row>
    <row r="16" spans="1:9" ht="15.75" customHeight="1" x14ac:dyDescent="0.35">
      <c r="A16" s="2" t="s">
        <v>62</v>
      </c>
      <c r="B16" s="2">
        <v>5</v>
      </c>
      <c r="C16" s="2">
        <v>3</v>
      </c>
      <c r="D16" s="2">
        <v>5.6340000000000003</v>
      </c>
      <c r="E16" s="2">
        <v>215.46153846153845</v>
      </c>
      <c r="F16" s="2">
        <v>1.972727033</v>
      </c>
      <c r="G16" s="2">
        <v>3855000</v>
      </c>
      <c r="H16" s="6">
        <v>684238.55165069213</v>
      </c>
      <c r="I16" s="2">
        <f t="shared" si="0"/>
        <v>5.1173204487678338E-7</v>
      </c>
    </row>
    <row r="17" spans="1:9" ht="15.75" customHeight="1" x14ac:dyDescent="0.35">
      <c r="A17" s="2" t="s">
        <v>62</v>
      </c>
      <c r="B17" s="2">
        <v>6</v>
      </c>
      <c r="C17" s="2">
        <v>3</v>
      </c>
      <c r="D17" s="2">
        <v>3.323</v>
      </c>
      <c r="E17" s="2">
        <v>196.99999999999997</v>
      </c>
      <c r="F17" s="2">
        <v>1.9919569663333343</v>
      </c>
      <c r="G17" s="2">
        <v>1980000</v>
      </c>
      <c r="H17" s="6">
        <v>595847.12609088176</v>
      </c>
      <c r="I17" s="2">
        <f t="shared" si="0"/>
        <v>1.0060388718855224E-6</v>
      </c>
    </row>
    <row r="18" spans="1:9" ht="15.75" customHeight="1" x14ac:dyDescent="0.35">
      <c r="A18" s="2" t="s">
        <v>62</v>
      </c>
      <c r="B18" s="2">
        <v>7</v>
      </c>
      <c r="C18" s="2">
        <v>3</v>
      </c>
      <c r="D18" s="2">
        <v>5.242</v>
      </c>
      <c r="E18" s="2">
        <v>716.61538461538476</v>
      </c>
      <c r="F18" s="2">
        <v>2.8341911663333326</v>
      </c>
      <c r="G18" s="2">
        <v>5752500</v>
      </c>
      <c r="H18" s="6">
        <v>1097386.4937046929</v>
      </c>
      <c r="I18" s="2">
        <f t="shared" si="0"/>
        <v>4.9268859910183962E-7</v>
      </c>
    </row>
    <row r="19" spans="1:9" ht="15.75" customHeight="1" x14ac:dyDescent="0.35"/>
    <row r="20" spans="1:9" ht="15.75" customHeight="1" x14ac:dyDescent="0.35">
      <c r="A20" s="2" t="s">
        <v>63</v>
      </c>
      <c r="B20" s="2">
        <v>1</v>
      </c>
      <c r="C20" s="2">
        <v>3</v>
      </c>
      <c r="D20" s="2">
        <v>2.4929999999999999</v>
      </c>
      <c r="E20" s="2">
        <v>679.69230769230785</v>
      </c>
      <c r="F20" s="2">
        <v>2.0976570003333332</v>
      </c>
      <c r="G20" s="2">
        <v>5737500</v>
      </c>
      <c r="H20" s="6">
        <v>2301444.0433212998</v>
      </c>
      <c r="I20" s="2">
        <f t="shared" ref="I20:I39" si="1">F20/G20</f>
        <v>3.6560470594045026E-7</v>
      </c>
    </row>
    <row r="21" spans="1:9" ht="15.75" customHeight="1" x14ac:dyDescent="0.35">
      <c r="A21" s="2" t="s">
        <v>63</v>
      </c>
      <c r="B21" s="2">
        <v>2</v>
      </c>
      <c r="C21" s="2">
        <v>3</v>
      </c>
      <c r="D21" s="2">
        <v>6.1509999999999998</v>
      </c>
      <c r="E21" s="2">
        <v>307.3846153846153</v>
      </c>
      <c r="F21" s="2">
        <v>1.6624713336666668</v>
      </c>
      <c r="G21" s="2">
        <v>4995000</v>
      </c>
      <c r="H21" s="6">
        <v>812063.079174118</v>
      </c>
      <c r="I21" s="2">
        <f t="shared" si="1"/>
        <v>3.3282709382716053E-7</v>
      </c>
    </row>
    <row r="22" spans="1:9" ht="15.75" customHeight="1" x14ac:dyDescent="0.35">
      <c r="A22" s="2" t="s">
        <v>63</v>
      </c>
      <c r="B22" s="2">
        <v>3</v>
      </c>
      <c r="C22" s="2">
        <v>3</v>
      </c>
      <c r="D22" s="2">
        <v>1.5580000000000001</v>
      </c>
      <c r="E22" s="2">
        <v>157.38461538461544</v>
      </c>
      <c r="F22" s="2">
        <v>1.5070756003333328</v>
      </c>
      <c r="G22" s="2">
        <v>3930000</v>
      </c>
      <c r="H22" s="6">
        <v>2522464.6983311935</v>
      </c>
      <c r="I22" s="2">
        <f t="shared" si="1"/>
        <v>3.8347979652247654E-7</v>
      </c>
    </row>
    <row r="23" spans="1:9" ht="15.75" customHeight="1" x14ac:dyDescent="0.35">
      <c r="A23" s="2" t="s">
        <v>63</v>
      </c>
      <c r="B23" s="2">
        <v>4</v>
      </c>
      <c r="C23" s="2">
        <v>3</v>
      </c>
      <c r="D23" s="2">
        <v>2.1920000000000002</v>
      </c>
      <c r="E23" s="2">
        <v>382.76923076923077</v>
      </c>
      <c r="F23" s="2">
        <v>1.7868917003333333</v>
      </c>
      <c r="G23" s="2">
        <v>6600000</v>
      </c>
      <c r="H23" s="6">
        <v>3010948.9051094889</v>
      </c>
      <c r="I23" s="2">
        <f t="shared" si="1"/>
        <v>2.7074116671717173E-7</v>
      </c>
    </row>
    <row r="24" spans="1:9" ht="15.75" customHeight="1" x14ac:dyDescent="0.35">
      <c r="A24" s="2" t="s">
        <v>63</v>
      </c>
      <c r="B24" s="2">
        <v>5</v>
      </c>
      <c r="C24" s="2">
        <v>3</v>
      </c>
      <c r="D24" s="2">
        <v>4.5359999999999996</v>
      </c>
      <c r="E24" s="2">
        <v>623.15384615384619</v>
      </c>
      <c r="F24" s="2">
        <v>2.8418345670000003</v>
      </c>
      <c r="G24" s="2">
        <v>6570000</v>
      </c>
      <c r="H24" s="6">
        <v>1448412.6984126985</v>
      </c>
      <c r="I24" s="2">
        <f t="shared" si="1"/>
        <v>4.3254711826484022E-7</v>
      </c>
    </row>
    <row r="25" spans="1:9" ht="15.75" customHeight="1" x14ac:dyDescent="0.35">
      <c r="A25" s="2" t="s">
        <v>63</v>
      </c>
      <c r="B25" s="2">
        <v>6</v>
      </c>
      <c r="C25" s="2">
        <v>3</v>
      </c>
      <c r="D25" s="2">
        <v>2.2589999999999999</v>
      </c>
      <c r="E25" s="2">
        <v>372</v>
      </c>
      <c r="F25" s="2">
        <v>2.5156397336666663</v>
      </c>
      <c r="G25" s="2">
        <v>4357500</v>
      </c>
      <c r="H25" s="6">
        <v>1928950.8632138115</v>
      </c>
      <c r="I25" s="2">
        <f t="shared" si="1"/>
        <v>5.7731261816790966E-7</v>
      </c>
    </row>
    <row r="26" spans="1:9" ht="15.75" customHeight="1" x14ac:dyDescent="0.35">
      <c r="A26" s="2" t="s">
        <v>63</v>
      </c>
      <c r="B26" s="2">
        <v>7</v>
      </c>
      <c r="C26" s="2">
        <v>3</v>
      </c>
      <c r="D26" s="2">
        <v>1.958</v>
      </c>
      <c r="E26" s="2">
        <v>235.46153846153845</v>
      </c>
      <c r="F26" s="2">
        <v>1.0648555336666665</v>
      </c>
      <c r="G26" s="2">
        <v>3000000</v>
      </c>
      <c r="H26" s="6">
        <v>1532175.6894790602</v>
      </c>
      <c r="I26" s="2">
        <f t="shared" si="1"/>
        <v>3.5495184455555552E-7</v>
      </c>
    </row>
    <row r="27" spans="1:9" ht="15.75" customHeight="1" x14ac:dyDescent="0.35">
      <c r="A27" s="2" t="s">
        <v>63</v>
      </c>
      <c r="B27" s="2">
        <v>8</v>
      </c>
      <c r="C27" s="2">
        <v>3</v>
      </c>
      <c r="D27" s="2">
        <v>4.056</v>
      </c>
      <c r="E27" s="2">
        <v>718.53846153846166</v>
      </c>
      <c r="F27" s="2">
        <v>3.3099473336666674</v>
      </c>
      <c r="G27" s="2">
        <v>3292500</v>
      </c>
      <c r="H27" s="6">
        <v>811760.35502958577</v>
      </c>
      <c r="I27" s="2">
        <f t="shared" si="1"/>
        <v>1.0052991142495572E-6</v>
      </c>
    </row>
    <row r="28" spans="1:9" ht="15.75" customHeight="1" x14ac:dyDescent="0.35">
      <c r="A28" s="2" t="s">
        <v>63</v>
      </c>
      <c r="B28" s="2">
        <v>9</v>
      </c>
      <c r="C28" s="2">
        <v>3</v>
      </c>
      <c r="D28" s="2">
        <v>3.2589999999999999</v>
      </c>
      <c r="E28" s="2">
        <v>560.46153846153845</v>
      </c>
      <c r="F28" s="2">
        <v>1.7594694336666667</v>
      </c>
      <c r="G28" s="2">
        <v>4537500</v>
      </c>
      <c r="H28" s="6">
        <v>1392298.2509972386</v>
      </c>
      <c r="I28" s="2">
        <f t="shared" si="1"/>
        <v>3.8776185865932048E-7</v>
      </c>
    </row>
    <row r="29" spans="1:9" ht="15.75" customHeight="1" x14ac:dyDescent="0.35">
      <c r="A29" s="2" t="s">
        <v>63</v>
      </c>
      <c r="B29" s="2">
        <v>10</v>
      </c>
      <c r="C29" s="2">
        <v>3</v>
      </c>
      <c r="D29" s="2">
        <v>2.4430000000000001</v>
      </c>
      <c r="E29" s="2">
        <v>375.4615384615384</v>
      </c>
      <c r="F29" s="2">
        <v>1.3561986336666667</v>
      </c>
      <c r="G29" s="2">
        <v>4087500</v>
      </c>
      <c r="H29" s="6">
        <v>1673147.7691363078</v>
      </c>
      <c r="I29" s="2">
        <f t="shared" si="1"/>
        <v>3.3179171465851174E-7</v>
      </c>
    </row>
    <row r="30" spans="1:9" ht="15.75" customHeight="1" x14ac:dyDescent="0.35">
      <c r="A30" s="2" t="s">
        <v>65</v>
      </c>
      <c r="B30" s="2">
        <v>1</v>
      </c>
      <c r="C30" s="2">
        <v>3</v>
      </c>
      <c r="D30" s="2">
        <v>1.587</v>
      </c>
      <c r="E30" s="2">
        <v>123.92307692307691</v>
      </c>
      <c r="F30" s="2">
        <v>1.2316849003333332</v>
      </c>
      <c r="G30" s="2">
        <v>1470000</v>
      </c>
      <c r="H30" s="6">
        <v>926275.99243856338</v>
      </c>
      <c r="I30" s="2">
        <f t="shared" si="1"/>
        <v>8.3788088458049874E-7</v>
      </c>
    </row>
    <row r="31" spans="1:9" ht="15.75" customHeight="1" x14ac:dyDescent="0.35">
      <c r="A31" s="2" t="s">
        <v>65</v>
      </c>
      <c r="B31" s="2">
        <v>2</v>
      </c>
      <c r="C31" s="2">
        <v>3</v>
      </c>
      <c r="D31" s="2">
        <v>1.3460000000000001</v>
      </c>
      <c r="E31" s="2">
        <v>150.84615384615384</v>
      </c>
      <c r="F31" s="2">
        <v>0.84346716699999946</v>
      </c>
      <c r="G31" s="2">
        <v>645000</v>
      </c>
      <c r="H31" s="6">
        <v>479197.62258543831</v>
      </c>
      <c r="I31" s="2">
        <f t="shared" si="1"/>
        <v>1.3077010341085262E-6</v>
      </c>
    </row>
    <row r="32" spans="1:9" ht="15.75" customHeight="1" x14ac:dyDescent="0.35">
      <c r="A32" s="2" t="s">
        <v>65</v>
      </c>
      <c r="B32" s="2">
        <v>3</v>
      </c>
      <c r="C32" s="2">
        <v>3</v>
      </c>
      <c r="D32" s="2">
        <v>0.82499999999999996</v>
      </c>
      <c r="E32" s="2">
        <v>36.615384615384599</v>
      </c>
      <c r="F32" s="2">
        <v>0.6443135336666671</v>
      </c>
      <c r="G32" s="2">
        <v>1980000</v>
      </c>
      <c r="H32" s="6">
        <v>2400000</v>
      </c>
      <c r="I32" s="2">
        <f t="shared" si="1"/>
        <v>3.2541087558922582E-7</v>
      </c>
    </row>
    <row r="33" spans="1:9" ht="15.75" customHeight="1" x14ac:dyDescent="0.35">
      <c r="A33" s="2" t="s">
        <v>65</v>
      </c>
      <c r="B33" s="2">
        <v>4</v>
      </c>
      <c r="C33" s="2">
        <v>3</v>
      </c>
      <c r="D33" s="2">
        <v>2.8119999999999998</v>
      </c>
      <c r="E33" s="2">
        <v>214.30769230769232</v>
      </c>
      <c r="F33" s="2">
        <v>1.3695290336666663</v>
      </c>
      <c r="G33" s="2">
        <v>2385000</v>
      </c>
      <c r="H33" s="6">
        <v>848150.78236130869</v>
      </c>
      <c r="I33" s="2">
        <f t="shared" si="1"/>
        <v>5.7422600992313055E-7</v>
      </c>
    </row>
    <row r="34" spans="1:9" ht="15.75" customHeight="1" x14ac:dyDescent="0.35">
      <c r="A34" s="2" t="s">
        <v>65</v>
      </c>
      <c r="B34" s="2">
        <v>5</v>
      </c>
      <c r="C34" s="2">
        <v>3</v>
      </c>
      <c r="D34" s="2">
        <v>1.577</v>
      </c>
      <c r="E34" s="2">
        <v>83.923076923076906</v>
      </c>
      <c r="F34" s="2">
        <v>0.82723033366666698</v>
      </c>
      <c r="G34" s="2">
        <v>1282500</v>
      </c>
      <c r="H34" s="6">
        <v>813253.01204819279</v>
      </c>
      <c r="I34" s="2">
        <f t="shared" si="1"/>
        <v>6.4501390539311266E-7</v>
      </c>
    </row>
    <row r="35" spans="1:9" ht="15.75" customHeight="1" x14ac:dyDescent="0.35">
      <c r="A35" s="2" t="s">
        <v>65</v>
      </c>
      <c r="B35" s="2">
        <v>6</v>
      </c>
      <c r="C35" s="2">
        <v>3</v>
      </c>
      <c r="D35" s="2">
        <v>3.831</v>
      </c>
      <c r="E35" s="2">
        <v>274.30769230769232</v>
      </c>
      <c r="F35" s="2">
        <v>1.2874583003333333</v>
      </c>
      <c r="G35" s="2">
        <v>2002500</v>
      </c>
      <c r="H35" s="6">
        <v>522709.4753328113</v>
      </c>
      <c r="I35" s="2">
        <f t="shared" si="1"/>
        <v>6.4292549330004158E-7</v>
      </c>
    </row>
    <row r="36" spans="1:9" ht="15.75" customHeight="1" x14ac:dyDescent="0.35">
      <c r="A36" s="2" t="s">
        <v>65</v>
      </c>
      <c r="B36" s="2">
        <v>7</v>
      </c>
      <c r="C36" s="2">
        <v>3</v>
      </c>
      <c r="D36" s="2">
        <v>2.5619999999999998</v>
      </c>
      <c r="E36" s="2">
        <v>262.38461538461542</v>
      </c>
      <c r="F36" s="2">
        <v>1.6636922336666671</v>
      </c>
      <c r="G36" s="2">
        <v>2842500</v>
      </c>
      <c r="H36" s="6">
        <v>1109484.7775175644</v>
      </c>
      <c r="I36" s="2">
        <f t="shared" si="1"/>
        <v>5.852919027851072E-7</v>
      </c>
    </row>
    <row r="37" spans="1:9" ht="15.75" customHeight="1" x14ac:dyDescent="0.35">
      <c r="A37" s="2" t="s">
        <v>65</v>
      </c>
      <c r="B37" s="2">
        <v>8</v>
      </c>
      <c r="C37" s="2">
        <v>3</v>
      </c>
      <c r="D37" s="2">
        <v>1.1180000000000001</v>
      </c>
      <c r="E37" s="2">
        <v>116.23076923076924</v>
      </c>
      <c r="F37" s="2">
        <v>0.69095836700000002</v>
      </c>
      <c r="G37" s="2">
        <v>1192500</v>
      </c>
      <c r="H37" s="6">
        <v>1066636.8515205723</v>
      </c>
      <c r="I37" s="2">
        <f t="shared" si="1"/>
        <v>5.7942001425576518E-7</v>
      </c>
    </row>
    <row r="38" spans="1:9" ht="15.75" customHeight="1" x14ac:dyDescent="0.35">
      <c r="A38" s="2" t="s">
        <v>65</v>
      </c>
      <c r="B38" s="2">
        <v>9</v>
      </c>
      <c r="C38" s="2">
        <v>3</v>
      </c>
      <c r="D38" s="2">
        <v>3.4740000000000002</v>
      </c>
      <c r="E38" s="2">
        <v>213.53846153846155</v>
      </c>
      <c r="F38" s="2">
        <v>2.8011234003333332</v>
      </c>
      <c r="G38" s="2">
        <v>4560000</v>
      </c>
      <c r="H38" s="6">
        <v>1312607.944732297</v>
      </c>
      <c r="I38" s="2">
        <f t="shared" si="1"/>
        <v>6.142814474415204E-7</v>
      </c>
    </row>
    <row r="39" spans="1:9" ht="15.75" customHeight="1" x14ac:dyDescent="0.35">
      <c r="A39" s="2" t="s">
        <v>65</v>
      </c>
      <c r="B39" s="2">
        <v>10</v>
      </c>
      <c r="C39" s="2">
        <v>3</v>
      </c>
      <c r="D39" s="2">
        <v>3.03</v>
      </c>
      <c r="E39" s="2">
        <v>154.30769230769235</v>
      </c>
      <c r="F39" s="2">
        <v>1.2666465336666666</v>
      </c>
      <c r="G39" s="2">
        <v>3067500</v>
      </c>
      <c r="H39" s="6">
        <v>1012376.2376237625</v>
      </c>
      <c r="I39" s="2">
        <f t="shared" si="1"/>
        <v>4.1292470535180655E-7</v>
      </c>
    </row>
    <row r="40" spans="1:9" ht="15.75" customHeight="1" x14ac:dyDescent="0.35"/>
    <row r="41" spans="1:9" ht="15.75" customHeight="1" x14ac:dyDescent="0.35"/>
    <row r="42" spans="1:9" ht="15.75" customHeight="1" x14ac:dyDescent="0.35"/>
    <row r="43" spans="1:9" ht="15.75" customHeight="1" x14ac:dyDescent="0.35"/>
    <row r="44" spans="1:9" ht="15.75" customHeight="1" x14ac:dyDescent="0.35"/>
    <row r="45" spans="1:9" ht="15.75" customHeight="1" x14ac:dyDescent="0.35"/>
    <row r="46" spans="1:9" ht="15.75" customHeight="1" x14ac:dyDescent="0.35"/>
    <row r="47" spans="1:9" ht="15.75" customHeight="1" x14ac:dyDescent="0.35"/>
    <row r="48" spans="1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workbookViewId="0"/>
  </sheetViews>
  <sheetFormatPr defaultColWidth="11.25" defaultRowHeight="15" customHeight="1" x14ac:dyDescent="0.35"/>
  <cols>
    <col min="1" max="4" width="10.58203125" customWidth="1"/>
    <col min="5" max="5" width="11.6640625" customWidth="1"/>
    <col min="6" max="8" width="10.58203125" customWidth="1"/>
    <col min="9" max="9" width="11.6640625" customWidth="1"/>
    <col min="10" max="28" width="10.58203125" customWidth="1"/>
  </cols>
  <sheetData>
    <row r="1" spans="1:28" ht="15.75" customHeight="1" x14ac:dyDescent="0.35">
      <c r="A1" s="2" t="s">
        <v>79</v>
      </c>
    </row>
    <row r="2" spans="1:28" ht="15.75" customHeight="1" x14ac:dyDescent="0.35">
      <c r="A2" s="48"/>
      <c r="B2" s="48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  <c r="L2" s="48">
        <v>11</v>
      </c>
      <c r="M2" s="48">
        <v>12</v>
      </c>
      <c r="O2" s="45" t="s">
        <v>80</v>
      </c>
    </row>
    <row r="3" spans="1:28" ht="15.75" customHeight="1" x14ac:dyDescent="0.35">
      <c r="A3" s="49" t="s">
        <v>81</v>
      </c>
      <c r="B3" s="50" t="s">
        <v>82</v>
      </c>
      <c r="C3" s="50" t="s">
        <v>82</v>
      </c>
      <c r="D3" s="50" t="s">
        <v>82</v>
      </c>
      <c r="E3" s="48"/>
      <c r="F3" s="50" t="s">
        <v>84</v>
      </c>
      <c r="G3" s="50" t="s">
        <v>84</v>
      </c>
      <c r="H3" s="50" t="s">
        <v>84</v>
      </c>
      <c r="I3" s="48"/>
      <c r="J3" s="50" t="s">
        <v>85</v>
      </c>
      <c r="K3" s="50" t="s">
        <v>85</v>
      </c>
      <c r="L3" s="50" t="s">
        <v>85</v>
      </c>
      <c r="M3" s="48"/>
      <c r="O3" s="49" t="s">
        <v>81</v>
      </c>
      <c r="P3" s="50" t="s">
        <v>82</v>
      </c>
      <c r="Q3" s="50" t="s">
        <v>82</v>
      </c>
      <c r="R3" s="50" t="s">
        <v>82</v>
      </c>
      <c r="S3" s="48"/>
      <c r="T3" s="50" t="s">
        <v>86</v>
      </c>
      <c r="U3" s="50" t="s">
        <v>86</v>
      </c>
      <c r="V3" s="50" t="s">
        <v>86</v>
      </c>
      <c r="W3" s="48"/>
      <c r="X3" s="50" t="s">
        <v>87</v>
      </c>
      <c r="Y3" s="50" t="s">
        <v>87</v>
      </c>
      <c r="Z3" s="50" t="s">
        <v>87</v>
      </c>
      <c r="AA3" s="48"/>
    </row>
    <row r="4" spans="1:28" ht="15.75" customHeight="1" x14ac:dyDescent="0.35">
      <c r="A4" s="49" t="s">
        <v>88</v>
      </c>
      <c r="B4" s="50" t="s">
        <v>89</v>
      </c>
      <c r="C4" s="50" t="s">
        <v>89</v>
      </c>
      <c r="D4" s="50" t="s">
        <v>89</v>
      </c>
      <c r="E4" s="48"/>
      <c r="F4" s="50" t="s">
        <v>90</v>
      </c>
      <c r="G4" s="50" t="s">
        <v>90</v>
      </c>
      <c r="H4" s="50" t="s">
        <v>90</v>
      </c>
      <c r="I4" s="48"/>
      <c r="J4" s="50" t="s">
        <v>91</v>
      </c>
      <c r="K4" s="50" t="s">
        <v>91</v>
      </c>
      <c r="L4" s="50" t="s">
        <v>91</v>
      </c>
      <c r="M4" s="48"/>
      <c r="O4" s="49" t="s">
        <v>88</v>
      </c>
      <c r="P4" s="50" t="s">
        <v>92</v>
      </c>
      <c r="Q4" s="50" t="s">
        <v>92</v>
      </c>
      <c r="R4" s="50" t="s">
        <v>92</v>
      </c>
      <c r="S4" s="48"/>
      <c r="T4" s="50" t="s">
        <v>86</v>
      </c>
      <c r="U4" s="50" t="s">
        <v>86</v>
      </c>
      <c r="V4" s="50" t="s">
        <v>86</v>
      </c>
      <c r="W4" s="48"/>
      <c r="X4" s="50" t="s">
        <v>93</v>
      </c>
      <c r="Y4" s="50" t="s">
        <v>93</v>
      </c>
      <c r="Z4" s="50" t="s">
        <v>93</v>
      </c>
      <c r="AA4" s="48"/>
    </row>
    <row r="5" spans="1:28" ht="15.75" customHeight="1" x14ac:dyDescent="0.35">
      <c r="A5" s="49" t="s">
        <v>94</v>
      </c>
      <c r="B5" s="50" t="s">
        <v>95</v>
      </c>
      <c r="C5" s="50" t="s">
        <v>95</v>
      </c>
      <c r="D5" s="50" t="s">
        <v>95</v>
      </c>
      <c r="E5" s="48"/>
      <c r="F5" s="50" t="s">
        <v>97</v>
      </c>
      <c r="G5" s="50" t="s">
        <v>97</v>
      </c>
      <c r="H5" s="50" t="s">
        <v>97</v>
      </c>
      <c r="I5" s="48"/>
      <c r="J5" s="50" t="s">
        <v>98</v>
      </c>
      <c r="K5" s="50" t="s">
        <v>98</v>
      </c>
      <c r="L5" s="50" t="s">
        <v>98</v>
      </c>
      <c r="M5" s="48"/>
      <c r="O5" s="49" t="s">
        <v>94</v>
      </c>
      <c r="P5" s="50" t="s">
        <v>99</v>
      </c>
      <c r="Q5" s="50" t="s">
        <v>99</v>
      </c>
      <c r="R5" s="50" t="s">
        <v>99</v>
      </c>
      <c r="S5" s="48"/>
      <c r="T5" s="50" t="s">
        <v>100</v>
      </c>
      <c r="U5" s="50" t="s">
        <v>100</v>
      </c>
      <c r="V5" s="50" t="s">
        <v>100</v>
      </c>
      <c r="W5" s="48"/>
      <c r="X5" s="50" t="s">
        <v>101</v>
      </c>
      <c r="Y5" s="50" t="s">
        <v>101</v>
      </c>
      <c r="Z5" s="50" t="s">
        <v>101</v>
      </c>
      <c r="AA5" s="48"/>
    </row>
    <row r="6" spans="1:28" ht="15.75" customHeight="1" x14ac:dyDescent="0.35">
      <c r="A6" s="49" t="s">
        <v>102</v>
      </c>
      <c r="B6" s="50" t="s">
        <v>103</v>
      </c>
      <c r="C6" s="50" t="s">
        <v>103</v>
      </c>
      <c r="D6" s="50" t="s">
        <v>103</v>
      </c>
      <c r="E6" s="48"/>
      <c r="F6" s="50" t="s">
        <v>104</v>
      </c>
      <c r="G6" s="50" t="s">
        <v>104</v>
      </c>
      <c r="H6" s="50" t="s">
        <v>104</v>
      </c>
      <c r="I6" s="48"/>
      <c r="J6" s="50" t="s">
        <v>105</v>
      </c>
      <c r="K6" s="50" t="s">
        <v>105</v>
      </c>
      <c r="L6" s="50" t="s">
        <v>105</v>
      </c>
      <c r="M6" s="48"/>
      <c r="O6" s="49" t="s">
        <v>102</v>
      </c>
      <c r="P6" s="50" t="s">
        <v>106</v>
      </c>
      <c r="Q6" s="50" t="s">
        <v>106</v>
      </c>
      <c r="R6" s="50" t="s">
        <v>106</v>
      </c>
      <c r="S6" s="48"/>
      <c r="T6" s="50" t="s">
        <v>107</v>
      </c>
      <c r="U6" s="50" t="s">
        <v>107</v>
      </c>
      <c r="V6" s="50" t="s">
        <v>107</v>
      </c>
      <c r="W6" s="48"/>
      <c r="X6" s="50" t="s">
        <v>108</v>
      </c>
      <c r="Y6" s="50" t="s">
        <v>108</v>
      </c>
      <c r="Z6" s="50" t="s">
        <v>108</v>
      </c>
      <c r="AA6" s="48"/>
    </row>
    <row r="7" spans="1:28" ht="15.75" customHeight="1" x14ac:dyDescent="0.35">
      <c r="A7" s="49" t="s">
        <v>109</v>
      </c>
      <c r="B7" s="50" t="s">
        <v>110</v>
      </c>
      <c r="C7" s="50" t="s">
        <v>110</v>
      </c>
      <c r="D7" s="50" t="s">
        <v>110</v>
      </c>
      <c r="E7" s="48"/>
      <c r="F7" s="50" t="s">
        <v>111</v>
      </c>
      <c r="G7" s="50" t="s">
        <v>111</v>
      </c>
      <c r="H7" s="50" t="s">
        <v>111</v>
      </c>
      <c r="I7" s="48"/>
      <c r="J7" s="50" t="s">
        <v>112</v>
      </c>
      <c r="K7" s="50" t="s">
        <v>112</v>
      </c>
      <c r="L7" s="50" t="s">
        <v>112</v>
      </c>
      <c r="M7" s="48"/>
      <c r="O7" s="49" t="s">
        <v>109</v>
      </c>
      <c r="P7" s="50" t="s">
        <v>113</v>
      </c>
      <c r="Q7" s="50" t="s">
        <v>113</v>
      </c>
      <c r="R7" s="50" t="s">
        <v>113</v>
      </c>
      <c r="S7" s="48"/>
      <c r="T7" s="48"/>
      <c r="U7" s="48"/>
      <c r="V7" s="48"/>
      <c r="W7" s="48"/>
      <c r="X7" s="50" t="s">
        <v>114</v>
      </c>
      <c r="Y7" s="50" t="s">
        <v>114</v>
      </c>
      <c r="Z7" s="50" t="s">
        <v>114</v>
      </c>
      <c r="AA7" s="48"/>
    </row>
    <row r="8" spans="1:28" ht="15.75" customHeight="1" x14ac:dyDescent="0.35">
      <c r="A8" s="49" t="s">
        <v>115</v>
      </c>
      <c r="B8" s="50" t="s">
        <v>116</v>
      </c>
      <c r="C8" s="50" t="s">
        <v>116</v>
      </c>
      <c r="D8" s="50" t="s">
        <v>116</v>
      </c>
      <c r="E8" s="48"/>
      <c r="F8" s="50" t="s">
        <v>117</v>
      </c>
      <c r="G8" s="50" t="s">
        <v>117</v>
      </c>
      <c r="H8" s="50" t="s">
        <v>117</v>
      </c>
      <c r="I8" s="48"/>
      <c r="J8" s="48"/>
      <c r="K8" s="48"/>
      <c r="L8" s="48"/>
      <c r="M8" s="48"/>
      <c r="O8" s="49" t="s">
        <v>115</v>
      </c>
      <c r="P8" s="50" t="s">
        <v>118</v>
      </c>
      <c r="Q8" s="50" t="s">
        <v>118</v>
      </c>
      <c r="R8" s="50" t="s">
        <v>118</v>
      </c>
      <c r="S8" s="48"/>
      <c r="T8" s="48"/>
      <c r="U8" s="48"/>
      <c r="V8" s="48"/>
      <c r="W8" s="48"/>
      <c r="X8" s="50" t="s">
        <v>119</v>
      </c>
      <c r="Y8" s="50" t="s">
        <v>119</v>
      </c>
      <c r="Z8" s="50" t="s">
        <v>119</v>
      </c>
      <c r="AA8" s="50"/>
    </row>
    <row r="9" spans="1:28" ht="15.75" customHeight="1" x14ac:dyDescent="0.35">
      <c r="A9" s="49" t="s">
        <v>120</v>
      </c>
      <c r="B9" s="50" t="s">
        <v>121</v>
      </c>
      <c r="C9" s="50" t="s">
        <v>121</v>
      </c>
      <c r="D9" s="50" t="s">
        <v>121</v>
      </c>
      <c r="E9" s="48"/>
      <c r="F9" s="50" t="s">
        <v>122</v>
      </c>
      <c r="G9" s="50" t="s">
        <v>122</v>
      </c>
      <c r="H9" s="50" t="s">
        <v>122</v>
      </c>
      <c r="I9" s="48"/>
      <c r="J9" s="48"/>
      <c r="K9" s="48"/>
      <c r="L9" s="48"/>
      <c r="M9" s="48"/>
      <c r="O9" s="49" t="s">
        <v>120</v>
      </c>
      <c r="P9" s="50" t="s">
        <v>123</v>
      </c>
      <c r="Q9" s="50" t="s">
        <v>123</v>
      </c>
      <c r="R9" s="50" t="s">
        <v>123</v>
      </c>
      <c r="S9" s="48"/>
      <c r="T9" s="48"/>
      <c r="U9" s="48"/>
      <c r="V9" s="48"/>
      <c r="W9" s="48"/>
      <c r="X9" s="50" t="s">
        <v>124</v>
      </c>
      <c r="Y9" s="50" t="s">
        <v>124</v>
      </c>
      <c r="Z9" s="50" t="s">
        <v>124</v>
      </c>
      <c r="AA9" s="48"/>
    </row>
    <row r="10" spans="1:28" ht="15.75" customHeight="1" x14ac:dyDescent="0.35">
      <c r="A10" s="49" t="s">
        <v>125</v>
      </c>
      <c r="B10" s="50" t="s">
        <v>126</v>
      </c>
      <c r="C10" s="50" t="s">
        <v>126</v>
      </c>
      <c r="D10" s="50" t="s">
        <v>126</v>
      </c>
      <c r="E10" s="48"/>
      <c r="F10" s="50" t="s">
        <v>127</v>
      </c>
      <c r="G10" s="50" t="s">
        <v>127</v>
      </c>
      <c r="H10" s="50" t="s">
        <v>127</v>
      </c>
      <c r="I10" s="48"/>
      <c r="J10" s="48"/>
      <c r="K10" s="48"/>
      <c r="L10" s="48"/>
      <c r="M10" s="48"/>
      <c r="O10" s="49" t="s">
        <v>125</v>
      </c>
      <c r="P10" s="50" t="s">
        <v>128</v>
      </c>
      <c r="Q10" s="50" t="s">
        <v>128</v>
      </c>
      <c r="R10" s="50" t="s">
        <v>128</v>
      </c>
      <c r="S10" s="48"/>
      <c r="T10" s="48"/>
      <c r="U10" s="48"/>
      <c r="V10" s="48"/>
      <c r="W10" s="48"/>
      <c r="X10" s="48"/>
      <c r="Y10" s="48"/>
      <c r="Z10" s="48"/>
      <c r="AA10" s="48"/>
    </row>
    <row r="11" spans="1:28" ht="15.75" customHeight="1" x14ac:dyDescent="0.35"/>
    <row r="12" spans="1:28" ht="15.75" customHeight="1" x14ac:dyDescent="0.35"/>
    <row r="13" spans="1:28" ht="15.75" customHeight="1" x14ac:dyDescent="0.35">
      <c r="O13" s="51"/>
      <c r="P13" s="52">
        <v>1</v>
      </c>
      <c r="Q13" s="52">
        <v>2</v>
      </c>
      <c r="R13" s="52">
        <v>3</v>
      </c>
      <c r="S13" s="52">
        <v>4</v>
      </c>
      <c r="T13" s="52">
        <v>5</v>
      </c>
      <c r="U13" s="52">
        <v>6</v>
      </c>
      <c r="V13" s="52">
        <v>7</v>
      </c>
      <c r="W13" s="52">
        <v>8</v>
      </c>
      <c r="X13" s="52">
        <v>9</v>
      </c>
      <c r="Y13" s="52">
        <v>10</v>
      </c>
      <c r="Z13" s="52">
        <v>11</v>
      </c>
      <c r="AA13" s="52">
        <v>12</v>
      </c>
      <c r="AB13" s="12"/>
    </row>
    <row r="14" spans="1:28" ht="15.75" customHeight="1" x14ac:dyDescent="0.35">
      <c r="A14" s="53"/>
      <c r="B14" s="52">
        <v>1</v>
      </c>
      <c r="C14" s="52">
        <v>2</v>
      </c>
      <c r="D14" s="52">
        <v>3</v>
      </c>
      <c r="E14" s="52">
        <v>4</v>
      </c>
      <c r="F14" s="52">
        <v>5</v>
      </c>
      <c r="G14" s="52">
        <v>6</v>
      </c>
      <c r="H14" s="52">
        <v>7</v>
      </c>
      <c r="I14" s="52">
        <v>8</v>
      </c>
      <c r="J14" s="52">
        <v>9</v>
      </c>
      <c r="K14" s="52">
        <v>10</v>
      </c>
      <c r="L14" s="52">
        <v>11</v>
      </c>
      <c r="M14" s="52">
        <v>12</v>
      </c>
      <c r="O14" s="109" t="s">
        <v>81</v>
      </c>
      <c r="P14" s="54">
        <v>0.11</v>
      </c>
      <c r="Q14" s="55">
        <v>0.105</v>
      </c>
      <c r="R14" s="55">
        <v>0.106</v>
      </c>
      <c r="S14" s="56">
        <f t="shared" ref="S14:S62" si="0">AVERAGE(P14:R14)</f>
        <v>0.107</v>
      </c>
      <c r="T14" s="57">
        <v>0.18099999999999999</v>
      </c>
      <c r="U14" s="57">
        <v>0.18099999999999999</v>
      </c>
      <c r="V14" s="57">
        <v>0.18099999999999999</v>
      </c>
      <c r="W14" s="56">
        <f t="shared" ref="W14:W31" si="1">AVERAGE(T14:V14)</f>
        <v>0.18099999999999997</v>
      </c>
      <c r="X14" s="58">
        <v>0.158</v>
      </c>
      <c r="Y14" s="58">
        <v>0.158</v>
      </c>
      <c r="Z14" s="58">
        <v>0.158</v>
      </c>
      <c r="AA14" s="56">
        <f t="shared" ref="AA14:AA55" si="2">AVERAGE(X14:Z14)</f>
        <v>0.158</v>
      </c>
      <c r="AB14" s="59">
        <v>630</v>
      </c>
    </row>
    <row r="15" spans="1:28" ht="15.75" customHeight="1" x14ac:dyDescent="0.35">
      <c r="A15" s="109" t="s">
        <v>81</v>
      </c>
      <c r="B15" s="55">
        <v>0.112</v>
      </c>
      <c r="C15" s="55">
        <v>0.109</v>
      </c>
      <c r="D15" s="55">
        <v>0.11</v>
      </c>
      <c r="E15" s="56">
        <f t="shared" ref="E15:E62" si="3">AVERAGE(B15:D15)</f>
        <v>0.11033333333333334</v>
      </c>
      <c r="F15" s="58">
        <v>0.17199999999999999</v>
      </c>
      <c r="G15" s="57">
        <v>0.20200000000000001</v>
      </c>
      <c r="H15" s="57">
        <v>0.20100000000000001</v>
      </c>
      <c r="I15" s="56">
        <f t="shared" ref="I15:I62" si="4">AVERAGE(F15:H15)</f>
        <v>0.19166666666666665</v>
      </c>
      <c r="J15" s="60">
        <v>0.14299999999999999</v>
      </c>
      <c r="K15" s="61">
        <v>0.14699999999999999</v>
      </c>
      <c r="L15" s="60">
        <v>0.14199999999999999</v>
      </c>
      <c r="M15" s="56">
        <f t="shared" ref="M15:M44" si="5">AVERAGE(J15:L15)</f>
        <v>0.14399999999999999</v>
      </c>
      <c r="N15" s="59">
        <v>630</v>
      </c>
      <c r="O15" s="110"/>
      <c r="P15" s="62">
        <v>0.105</v>
      </c>
      <c r="Q15" s="62">
        <v>0.1</v>
      </c>
      <c r="R15" s="62">
        <v>0.10199999999999999</v>
      </c>
      <c r="S15" s="56">
        <f t="shared" si="0"/>
        <v>0.10233333333333333</v>
      </c>
      <c r="T15" s="63">
        <v>0.18099999999999999</v>
      </c>
      <c r="U15" s="63">
        <v>0.18099999999999999</v>
      </c>
      <c r="V15" s="63">
        <v>0.18099999999999999</v>
      </c>
      <c r="W15" s="56">
        <f t="shared" si="1"/>
        <v>0.18099999999999997</v>
      </c>
      <c r="X15" s="64">
        <v>0.158</v>
      </c>
      <c r="Y15" s="64">
        <v>0.159</v>
      </c>
      <c r="Z15" s="64">
        <v>0.159</v>
      </c>
      <c r="AA15" s="56">
        <f t="shared" si="2"/>
        <v>0.15866666666666665</v>
      </c>
      <c r="AB15" s="59">
        <v>647</v>
      </c>
    </row>
    <row r="16" spans="1:28" ht="15.75" customHeight="1" x14ac:dyDescent="0.35">
      <c r="A16" s="110"/>
      <c r="B16" s="62">
        <v>0.107</v>
      </c>
      <c r="C16" s="62">
        <v>0.105</v>
      </c>
      <c r="D16" s="62">
        <v>0.105</v>
      </c>
      <c r="E16" s="56">
        <f t="shared" si="3"/>
        <v>0.10566666666666667</v>
      </c>
      <c r="F16" s="64">
        <v>0.16300000000000001</v>
      </c>
      <c r="G16" s="63">
        <v>0.192</v>
      </c>
      <c r="H16" s="63">
        <v>0.192</v>
      </c>
      <c r="I16" s="56">
        <f t="shared" si="4"/>
        <v>0.18233333333333332</v>
      </c>
      <c r="J16" s="65">
        <v>0.13800000000000001</v>
      </c>
      <c r="K16" s="66">
        <v>0.14099999999999999</v>
      </c>
      <c r="L16" s="65">
        <v>0.13600000000000001</v>
      </c>
      <c r="M16" s="56">
        <f t="shared" si="5"/>
        <v>0.13833333333333334</v>
      </c>
      <c r="N16" s="59">
        <v>647</v>
      </c>
      <c r="O16" s="110"/>
      <c r="P16" s="67">
        <v>0.10100000000000001</v>
      </c>
      <c r="Q16" s="67">
        <v>9.6000000000000002E-2</v>
      </c>
      <c r="R16" s="67">
        <v>9.7000000000000003E-2</v>
      </c>
      <c r="S16" s="56">
        <f t="shared" si="0"/>
        <v>9.8000000000000018E-2</v>
      </c>
      <c r="T16" s="63">
        <v>0.40200000000000002</v>
      </c>
      <c r="U16" s="63">
        <v>0.39900000000000002</v>
      </c>
      <c r="V16" s="63">
        <v>0.4</v>
      </c>
      <c r="W16" s="56">
        <f t="shared" si="1"/>
        <v>0.40033333333333337</v>
      </c>
      <c r="X16" s="68">
        <v>0.27600000000000002</v>
      </c>
      <c r="Y16" s="68">
        <v>0.27700000000000002</v>
      </c>
      <c r="Z16" s="68">
        <v>0.27900000000000003</v>
      </c>
      <c r="AA16" s="56">
        <f t="shared" si="2"/>
        <v>0.27733333333333338</v>
      </c>
      <c r="AB16" s="59">
        <v>663</v>
      </c>
    </row>
    <row r="17" spans="1:28" ht="15.75" customHeight="1" x14ac:dyDescent="0.35">
      <c r="A17" s="110"/>
      <c r="B17" s="67">
        <v>0.104</v>
      </c>
      <c r="C17" s="67">
        <v>0.10100000000000001</v>
      </c>
      <c r="D17" s="67">
        <v>0.10100000000000001</v>
      </c>
      <c r="E17" s="56">
        <f t="shared" si="3"/>
        <v>0.10200000000000002</v>
      </c>
      <c r="F17" s="69">
        <v>0.32500000000000001</v>
      </c>
      <c r="G17" s="63">
        <v>0.42899999999999999</v>
      </c>
      <c r="H17" s="63">
        <v>0.42899999999999999</v>
      </c>
      <c r="I17" s="56">
        <f t="shared" si="4"/>
        <v>0.39433333333333337</v>
      </c>
      <c r="J17" s="70">
        <v>0.215</v>
      </c>
      <c r="K17" s="70">
        <v>0.224</v>
      </c>
      <c r="L17" s="70">
        <v>0.21099999999999999</v>
      </c>
      <c r="M17" s="56">
        <f t="shared" si="5"/>
        <v>0.21666666666666667</v>
      </c>
      <c r="N17" s="59">
        <v>663</v>
      </c>
      <c r="O17" s="110"/>
      <c r="P17" s="67">
        <v>0.10100000000000001</v>
      </c>
      <c r="Q17" s="67">
        <v>9.6000000000000002E-2</v>
      </c>
      <c r="R17" s="67">
        <v>9.7000000000000003E-2</v>
      </c>
      <c r="S17" s="56">
        <f t="shared" si="0"/>
        <v>9.8000000000000018E-2</v>
      </c>
      <c r="T17" s="63">
        <v>0.40100000000000002</v>
      </c>
      <c r="U17" s="63">
        <v>0.39800000000000002</v>
      </c>
      <c r="V17" s="63">
        <v>0.39900000000000002</v>
      </c>
      <c r="W17" s="56">
        <f t="shared" si="1"/>
        <v>0.39933333333333332</v>
      </c>
      <c r="X17" s="68">
        <v>0.27400000000000002</v>
      </c>
      <c r="Y17" s="68">
        <v>0.27500000000000002</v>
      </c>
      <c r="Z17" s="68">
        <v>0.27600000000000002</v>
      </c>
      <c r="AA17" s="56">
        <f t="shared" si="2"/>
        <v>0.27500000000000002</v>
      </c>
      <c r="AB17" s="59">
        <v>664</v>
      </c>
    </row>
    <row r="18" spans="1:28" ht="15.75" customHeight="1" x14ac:dyDescent="0.35">
      <c r="A18" s="110"/>
      <c r="B18" s="67">
        <v>0.104</v>
      </c>
      <c r="C18" s="67">
        <v>0.10100000000000001</v>
      </c>
      <c r="D18" s="67">
        <v>0.10100000000000001</v>
      </c>
      <c r="E18" s="56">
        <f t="shared" si="3"/>
        <v>0.10200000000000002</v>
      </c>
      <c r="F18" s="69">
        <v>0.32400000000000001</v>
      </c>
      <c r="G18" s="63">
        <v>0.42799999999999999</v>
      </c>
      <c r="H18" s="63">
        <v>0.42699999999999999</v>
      </c>
      <c r="I18" s="56">
        <f t="shared" si="4"/>
        <v>0.39300000000000002</v>
      </c>
      <c r="J18" s="70">
        <v>0.214</v>
      </c>
      <c r="K18" s="70">
        <v>0.223</v>
      </c>
      <c r="L18" s="70">
        <v>0.21</v>
      </c>
      <c r="M18" s="56">
        <f t="shared" si="5"/>
        <v>0.21566666666666667</v>
      </c>
      <c r="N18" s="59">
        <v>664</v>
      </c>
      <c r="O18" s="110"/>
      <c r="P18" s="69">
        <v>9.5000000000000001E-2</v>
      </c>
      <c r="Q18" s="65">
        <v>0.09</v>
      </c>
      <c r="R18" s="65">
        <v>9.0999999999999998E-2</v>
      </c>
      <c r="S18" s="56">
        <f t="shared" si="0"/>
        <v>9.2000000000000012E-2</v>
      </c>
      <c r="T18" s="73">
        <v>0.1</v>
      </c>
      <c r="U18" s="73">
        <v>0.10100000000000001</v>
      </c>
      <c r="V18" s="73">
        <v>0.1</v>
      </c>
      <c r="W18" s="56">
        <f t="shared" si="1"/>
        <v>0.10033333333333334</v>
      </c>
      <c r="X18" s="63">
        <v>0.10199999999999999</v>
      </c>
      <c r="Y18" s="63">
        <v>0.10299999999999999</v>
      </c>
      <c r="Z18" s="63">
        <v>0.10299999999999999</v>
      </c>
      <c r="AA18" s="56">
        <f t="shared" si="2"/>
        <v>0.10266666666666667</v>
      </c>
      <c r="AB18" s="59">
        <v>691</v>
      </c>
    </row>
    <row r="19" spans="1:28" ht="15.75" customHeight="1" x14ac:dyDescent="0.35">
      <c r="A19" s="110"/>
      <c r="B19" s="68">
        <v>9.8000000000000004E-2</v>
      </c>
      <c r="C19" s="66">
        <v>9.5000000000000001E-2</v>
      </c>
      <c r="D19" s="66">
        <v>9.6000000000000002E-2</v>
      </c>
      <c r="E19" s="56">
        <f t="shared" si="3"/>
        <v>9.633333333333334E-2</v>
      </c>
      <c r="F19" s="68">
        <v>9.7000000000000003E-2</v>
      </c>
      <c r="G19" s="64">
        <v>0.10100000000000001</v>
      </c>
      <c r="H19" s="64">
        <v>0.10100000000000001</v>
      </c>
      <c r="I19" s="56">
        <f t="shared" si="4"/>
        <v>9.9666666666666681E-2</v>
      </c>
      <c r="J19" s="68">
        <v>9.7000000000000003E-2</v>
      </c>
      <c r="K19" s="68">
        <v>9.9000000000000005E-2</v>
      </c>
      <c r="L19" s="68">
        <v>9.7000000000000003E-2</v>
      </c>
      <c r="M19" s="56">
        <f t="shared" si="5"/>
        <v>9.7666666666666679E-2</v>
      </c>
      <c r="N19" s="59">
        <v>691</v>
      </c>
      <c r="O19" s="111"/>
      <c r="P19" s="74">
        <v>9.4E-2</v>
      </c>
      <c r="Q19" s="75">
        <v>8.8999999999999996E-2</v>
      </c>
      <c r="R19" s="76">
        <v>0.09</v>
      </c>
      <c r="S19" s="56">
        <f t="shared" si="0"/>
        <v>9.1000000000000011E-2</v>
      </c>
      <c r="T19" s="74">
        <v>9.2999999999999999E-2</v>
      </c>
      <c r="U19" s="74">
        <v>9.4E-2</v>
      </c>
      <c r="V19" s="74">
        <v>9.2999999999999999E-2</v>
      </c>
      <c r="W19" s="56">
        <f t="shared" si="1"/>
        <v>9.3333333333333338E-2</v>
      </c>
      <c r="X19" s="77">
        <v>9.7000000000000003E-2</v>
      </c>
      <c r="Y19" s="77">
        <v>9.8000000000000004E-2</v>
      </c>
      <c r="Z19" s="77">
        <v>9.8000000000000004E-2</v>
      </c>
      <c r="AA19" s="56">
        <f t="shared" si="2"/>
        <v>9.7666666666666679E-2</v>
      </c>
      <c r="AB19" s="59">
        <v>697</v>
      </c>
    </row>
    <row r="20" spans="1:28" ht="15.75" customHeight="1" x14ac:dyDescent="0.35">
      <c r="A20" s="111"/>
      <c r="B20" s="74">
        <v>9.7000000000000003E-2</v>
      </c>
      <c r="C20" s="78">
        <v>9.4E-2</v>
      </c>
      <c r="D20" s="78">
        <v>9.5000000000000001E-2</v>
      </c>
      <c r="E20" s="56">
        <f t="shared" si="3"/>
        <v>9.5333333333333339E-2</v>
      </c>
      <c r="F20" s="76">
        <v>9.1999999999999998E-2</v>
      </c>
      <c r="G20" s="78">
        <v>9.4E-2</v>
      </c>
      <c r="H20" s="78">
        <v>9.4E-2</v>
      </c>
      <c r="I20" s="56">
        <f t="shared" si="4"/>
        <v>9.3333333333333338E-2</v>
      </c>
      <c r="J20" s="78">
        <v>9.2999999999999999E-2</v>
      </c>
      <c r="K20" s="78">
        <v>9.5000000000000001E-2</v>
      </c>
      <c r="L20" s="78">
        <v>9.4E-2</v>
      </c>
      <c r="M20" s="56">
        <f t="shared" si="5"/>
        <v>9.4000000000000014E-2</v>
      </c>
      <c r="N20" s="59">
        <v>697</v>
      </c>
      <c r="O20" s="109" t="s">
        <v>88</v>
      </c>
      <c r="P20" s="58">
        <v>0.159</v>
      </c>
      <c r="Q20" s="79">
        <v>0.155</v>
      </c>
      <c r="R20" s="58">
        <v>0.158</v>
      </c>
      <c r="S20" s="56">
        <f t="shared" si="0"/>
        <v>0.15733333333333333</v>
      </c>
      <c r="T20" s="80">
        <v>0.16800000000000001</v>
      </c>
      <c r="U20" s="80">
        <v>0.16400000000000001</v>
      </c>
      <c r="V20" s="58">
        <v>0.158</v>
      </c>
      <c r="W20" s="56">
        <f t="shared" si="1"/>
        <v>0.16333333333333333</v>
      </c>
      <c r="X20" s="80">
        <v>0.16700000000000001</v>
      </c>
      <c r="Y20" s="81">
        <v>0.16900000000000001</v>
      </c>
      <c r="Z20" s="80">
        <v>0.16300000000000001</v>
      </c>
      <c r="AA20" s="56">
        <f t="shared" si="2"/>
        <v>0.16633333333333333</v>
      </c>
      <c r="AB20" s="59">
        <v>630</v>
      </c>
    </row>
    <row r="21" spans="1:28" ht="15.75" customHeight="1" x14ac:dyDescent="0.35">
      <c r="A21" s="109" t="s">
        <v>88</v>
      </c>
      <c r="B21" s="82">
        <v>0.155</v>
      </c>
      <c r="C21" s="82">
        <v>0.159</v>
      </c>
      <c r="D21" s="79">
        <v>0.16200000000000001</v>
      </c>
      <c r="E21" s="56">
        <f t="shared" si="3"/>
        <v>0.15866666666666665</v>
      </c>
      <c r="F21" s="60">
        <v>0.14000000000000001</v>
      </c>
      <c r="G21" s="83">
        <v>0.13300000000000001</v>
      </c>
      <c r="H21" s="83">
        <v>0.13400000000000001</v>
      </c>
      <c r="I21" s="56">
        <f t="shared" si="4"/>
        <v>0.13566666666666669</v>
      </c>
      <c r="J21" s="60">
        <v>0.14399999999999999</v>
      </c>
      <c r="K21" s="61">
        <v>0.15</v>
      </c>
      <c r="L21" s="60">
        <v>0.14299999999999999</v>
      </c>
      <c r="M21" s="56">
        <f t="shared" si="5"/>
        <v>0.14566666666666664</v>
      </c>
      <c r="N21" s="59">
        <v>630</v>
      </c>
      <c r="O21" s="110"/>
      <c r="P21" s="84">
        <v>0.16200000000000001</v>
      </c>
      <c r="Q21" s="64">
        <v>0.157</v>
      </c>
      <c r="R21" s="84">
        <v>0.161</v>
      </c>
      <c r="S21" s="56">
        <f t="shared" si="0"/>
        <v>0.16</v>
      </c>
      <c r="T21" s="73">
        <v>0.16800000000000001</v>
      </c>
      <c r="U21" s="84">
        <v>0.16400000000000001</v>
      </c>
      <c r="V21" s="64">
        <v>0.158</v>
      </c>
      <c r="W21" s="56">
        <f t="shared" si="1"/>
        <v>0.16333333333333333</v>
      </c>
      <c r="X21" s="84">
        <v>0.16300000000000001</v>
      </c>
      <c r="Y21" s="84">
        <v>0.16500000000000001</v>
      </c>
      <c r="Z21" s="64">
        <v>0.159</v>
      </c>
      <c r="AA21" s="56">
        <f t="shared" si="2"/>
        <v>0.16233333333333333</v>
      </c>
      <c r="AB21" s="59">
        <v>647</v>
      </c>
    </row>
    <row r="22" spans="1:28" ht="15.75" customHeight="1" x14ac:dyDescent="0.35">
      <c r="A22" s="110"/>
      <c r="B22" s="68">
        <v>0.15</v>
      </c>
      <c r="C22" s="68">
        <v>0.154</v>
      </c>
      <c r="D22" s="69">
        <v>0.158</v>
      </c>
      <c r="E22" s="56">
        <f t="shared" si="3"/>
        <v>0.154</v>
      </c>
      <c r="F22" s="66">
        <v>0.14199999999999999</v>
      </c>
      <c r="G22" s="65">
        <v>0.13500000000000001</v>
      </c>
      <c r="H22" s="65">
        <v>0.13700000000000001</v>
      </c>
      <c r="I22" s="56">
        <f t="shared" si="4"/>
        <v>0.13800000000000001</v>
      </c>
      <c r="J22" s="68">
        <v>0.14799999999999999</v>
      </c>
      <c r="K22" s="68">
        <v>0.154</v>
      </c>
      <c r="L22" s="68">
        <v>0.14799999999999999</v>
      </c>
      <c r="M22" s="56">
        <f t="shared" si="5"/>
        <v>0.15</v>
      </c>
      <c r="N22" s="59">
        <v>647</v>
      </c>
      <c r="O22" s="110"/>
      <c r="P22" s="64">
        <v>0.317</v>
      </c>
      <c r="Q22" s="69">
        <v>0.309</v>
      </c>
      <c r="R22" s="64">
        <v>0.311</v>
      </c>
      <c r="S22" s="56">
        <f t="shared" si="0"/>
        <v>0.31233333333333335</v>
      </c>
      <c r="T22" s="84">
        <v>0.34399999999999997</v>
      </c>
      <c r="U22" s="84">
        <v>0.33900000000000002</v>
      </c>
      <c r="V22" s="64">
        <v>0.33</v>
      </c>
      <c r="W22" s="56">
        <f t="shared" si="1"/>
        <v>0.33766666666666673</v>
      </c>
      <c r="X22" s="64">
        <v>0.315</v>
      </c>
      <c r="Y22" s="64">
        <v>0.31900000000000001</v>
      </c>
      <c r="Z22" s="69">
        <v>0.308</v>
      </c>
      <c r="AA22" s="56">
        <f t="shared" si="2"/>
        <v>0.314</v>
      </c>
      <c r="AB22" s="59">
        <v>663</v>
      </c>
    </row>
    <row r="23" spans="1:28" ht="15.75" customHeight="1" x14ac:dyDescent="0.35">
      <c r="A23" s="110"/>
      <c r="B23" s="66">
        <v>0.27200000000000002</v>
      </c>
      <c r="C23" s="68">
        <v>0.29499999999999998</v>
      </c>
      <c r="D23" s="68">
        <v>0.29699999999999999</v>
      </c>
      <c r="E23" s="56">
        <f t="shared" si="3"/>
        <v>0.28799999999999998</v>
      </c>
      <c r="F23" s="66">
        <v>0.25700000000000001</v>
      </c>
      <c r="G23" s="65">
        <v>0.25</v>
      </c>
      <c r="H23" s="66">
        <v>0.26</v>
      </c>
      <c r="I23" s="56">
        <f t="shared" si="4"/>
        <v>0.25566666666666665</v>
      </c>
      <c r="J23" s="65">
        <v>0.24299999999999999</v>
      </c>
      <c r="K23" s="66">
        <v>0.26</v>
      </c>
      <c r="L23" s="65">
        <v>0.25</v>
      </c>
      <c r="M23" s="56">
        <f t="shared" si="5"/>
        <v>0.251</v>
      </c>
      <c r="N23" s="59">
        <v>663</v>
      </c>
      <c r="O23" s="110"/>
      <c r="P23" s="64">
        <v>0.313</v>
      </c>
      <c r="Q23" s="69">
        <v>0.30499999999999999</v>
      </c>
      <c r="R23" s="69">
        <v>0.308</v>
      </c>
      <c r="S23" s="56">
        <f t="shared" si="0"/>
        <v>0.30866666666666664</v>
      </c>
      <c r="T23" s="84">
        <v>0.34</v>
      </c>
      <c r="U23" s="84">
        <v>0.33500000000000002</v>
      </c>
      <c r="V23" s="64">
        <v>0.32700000000000001</v>
      </c>
      <c r="W23" s="56">
        <f t="shared" si="1"/>
        <v>0.33400000000000002</v>
      </c>
      <c r="X23" s="64">
        <v>0.312</v>
      </c>
      <c r="Y23" s="64">
        <v>0.315</v>
      </c>
      <c r="Z23" s="69">
        <v>0.30499999999999999</v>
      </c>
      <c r="AA23" s="56">
        <f t="shared" si="2"/>
        <v>0.31066666666666665</v>
      </c>
      <c r="AB23" s="59">
        <v>664</v>
      </c>
    </row>
    <row r="24" spans="1:28" ht="15.75" customHeight="1" x14ac:dyDescent="0.35">
      <c r="A24" s="110"/>
      <c r="B24" s="66">
        <v>0.27</v>
      </c>
      <c r="C24" s="68">
        <v>0.29299999999999998</v>
      </c>
      <c r="D24" s="68">
        <v>0.29499999999999998</v>
      </c>
      <c r="E24" s="56">
        <f t="shared" si="3"/>
        <v>0.28599999999999998</v>
      </c>
      <c r="F24" s="65">
        <v>0.255</v>
      </c>
      <c r="G24" s="65">
        <v>0.248</v>
      </c>
      <c r="H24" s="66">
        <v>0.25800000000000001</v>
      </c>
      <c r="I24" s="56">
        <f t="shared" si="4"/>
        <v>0.25366666666666665</v>
      </c>
      <c r="J24" s="65">
        <v>0.24099999999999999</v>
      </c>
      <c r="K24" s="66">
        <v>0.25800000000000001</v>
      </c>
      <c r="L24" s="65">
        <v>0.248</v>
      </c>
      <c r="M24" s="56">
        <f t="shared" si="5"/>
        <v>0.249</v>
      </c>
      <c r="N24" s="59">
        <v>664</v>
      </c>
      <c r="O24" s="110"/>
      <c r="P24" s="64">
        <v>9.8000000000000004E-2</v>
      </c>
      <c r="Q24" s="68">
        <v>9.4E-2</v>
      </c>
      <c r="R24" s="64">
        <v>9.7000000000000003E-2</v>
      </c>
      <c r="S24" s="56">
        <f t="shared" si="0"/>
        <v>9.633333333333334E-2</v>
      </c>
      <c r="T24" s="66">
        <v>9.1999999999999998E-2</v>
      </c>
      <c r="U24" s="65">
        <v>0.09</v>
      </c>
      <c r="V24" s="85">
        <v>8.5999999999999993E-2</v>
      </c>
      <c r="W24" s="56">
        <f t="shared" si="1"/>
        <v>8.9333333333333334E-2</v>
      </c>
      <c r="X24" s="64">
        <v>9.7000000000000003E-2</v>
      </c>
      <c r="Y24" s="84">
        <v>9.8000000000000004E-2</v>
      </c>
      <c r="Z24" s="68">
        <v>9.2999999999999999E-2</v>
      </c>
      <c r="AA24" s="56">
        <f t="shared" si="2"/>
        <v>9.6000000000000016E-2</v>
      </c>
      <c r="AB24" s="59">
        <v>691</v>
      </c>
    </row>
    <row r="25" spans="1:28" ht="15.75" customHeight="1" x14ac:dyDescent="0.35">
      <c r="A25" s="110"/>
      <c r="B25" s="68">
        <v>9.7000000000000003E-2</v>
      </c>
      <c r="C25" s="66">
        <v>9.4E-2</v>
      </c>
      <c r="D25" s="68">
        <v>9.7000000000000003E-2</v>
      </c>
      <c r="E25" s="56">
        <f t="shared" si="3"/>
        <v>9.6000000000000016E-2</v>
      </c>
      <c r="F25" s="70">
        <v>9.0999999999999998E-2</v>
      </c>
      <c r="G25" s="85">
        <v>8.5999999999999993E-2</v>
      </c>
      <c r="H25" s="85">
        <v>8.5000000000000006E-2</v>
      </c>
      <c r="I25" s="56">
        <f t="shared" si="4"/>
        <v>8.7333333333333332E-2</v>
      </c>
      <c r="J25" s="68">
        <v>9.9000000000000005E-2</v>
      </c>
      <c r="K25" s="69">
        <v>0.10100000000000001</v>
      </c>
      <c r="L25" s="66">
        <v>9.5000000000000001E-2</v>
      </c>
      <c r="M25" s="56">
        <f t="shared" si="5"/>
        <v>9.8333333333333342E-2</v>
      </c>
      <c r="N25" s="59">
        <v>691</v>
      </c>
      <c r="O25" s="111"/>
      <c r="P25" s="74">
        <v>9.2999999999999999E-2</v>
      </c>
      <c r="Q25" s="76">
        <v>0.09</v>
      </c>
      <c r="R25" s="74">
        <v>9.2999999999999999E-2</v>
      </c>
      <c r="S25" s="56">
        <f t="shared" si="0"/>
        <v>9.2000000000000012E-2</v>
      </c>
      <c r="T25" s="86">
        <v>8.5999999999999993E-2</v>
      </c>
      <c r="U25" s="87">
        <v>8.5000000000000006E-2</v>
      </c>
      <c r="V25" s="88">
        <v>8.2000000000000003E-2</v>
      </c>
      <c r="W25" s="56">
        <f t="shared" si="1"/>
        <v>8.433333333333333E-2</v>
      </c>
      <c r="X25" s="74">
        <v>9.1999999999999998E-2</v>
      </c>
      <c r="Y25" s="89">
        <v>9.4E-2</v>
      </c>
      <c r="Z25" s="75">
        <v>8.8999999999999996E-2</v>
      </c>
      <c r="AA25" s="56">
        <f t="shared" si="2"/>
        <v>9.1666666666666674E-2</v>
      </c>
      <c r="AB25" s="59">
        <v>697</v>
      </c>
    </row>
    <row r="26" spans="1:28" ht="15.75" customHeight="1" x14ac:dyDescent="0.35">
      <c r="A26" s="111"/>
      <c r="B26" s="76">
        <v>9.2999999999999999E-2</v>
      </c>
      <c r="C26" s="75">
        <v>8.8999999999999996E-2</v>
      </c>
      <c r="D26" s="76">
        <v>9.2999999999999999E-2</v>
      </c>
      <c r="E26" s="56">
        <f t="shared" si="3"/>
        <v>9.1666666666666674E-2</v>
      </c>
      <c r="F26" s="87">
        <v>8.6999999999999994E-2</v>
      </c>
      <c r="G26" s="88">
        <v>8.2000000000000003E-2</v>
      </c>
      <c r="H26" s="88">
        <v>8.1000000000000003E-2</v>
      </c>
      <c r="I26" s="56">
        <f t="shared" si="4"/>
        <v>8.3333333333333329E-2</v>
      </c>
      <c r="J26" s="78">
        <v>9.4E-2</v>
      </c>
      <c r="K26" s="74">
        <v>9.6000000000000002E-2</v>
      </c>
      <c r="L26" s="75">
        <v>0.09</v>
      </c>
      <c r="M26" s="56">
        <f t="shared" si="5"/>
        <v>9.3333333333333338E-2</v>
      </c>
      <c r="N26" s="59">
        <v>697</v>
      </c>
      <c r="O26" s="109" t="s">
        <v>94</v>
      </c>
      <c r="P26" s="61">
        <v>0.13600000000000001</v>
      </c>
      <c r="Q26" s="60">
        <v>0.13200000000000001</v>
      </c>
      <c r="R26" s="61">
        <v>0.13900000000000001</v>
      </c>
      <c r="S26" s="56">
        <f t="shared" si="0"/>
        <v>0.13566666666666669</v>
      </c>
      <c r="T26" s="80">
        <v>0.16400000000000001</v>
      </c>
      <c r="U26" s="58">
        <v>0.158</v>
      </c>
      <c r="V26" s="79">
        <v>0.155</v>
      </c>
      <c r="W26" s="56">
        <f t="shared" si="1"/>
        <v>0.159</v>
      </c>
      <c r="X26" s="80">
        <v>0.16400000000000001</v>
      </c>
      <c r="Y26" s="80">
        <v>0.16600000000000001</v>
      </c>
      <c r="Z26" s="58">
        <v>0.157</v>
      </c>
      <c r="AA26" s="56">
        <f t="shared" si="2"/>
        <v>0.16233333333333333</v>
      </c>
      <c r="AB26" s="59">
        <v>630</v>
      </c>
    </row>
    <row r="27" spans="1:28" ht="15.75" customHeight="1" x14ac:dyDescent="0.35">
      <c r="A27" s="109" t="s">
        <v>94</v>
      </c>
      <c r="B27" s="61">
        <v>0.153</v>
      </c>
      <c r="C27" s="60">
        <v>0.14199999999999999</v>
      </c>
      <c r="D27" s="61">
        <v>0.14899999999999999</v>
      </c>
      <c r="E27" s="56">
        <f t="shared" si="3"/>
        <v>0.14799999999999999</v>
      </c>
      <c r="F27" s="90">
        <v>0.13</v>
      </c>
      <c r="G27" s="90">
        <v>0.125</v>
      </c>
      <c r="H27" s="54">
        <v>0.121</v>
      </c>
      <c r="I27" s="56">
        <f t="shared" si="4"/>
        <v>0.12533333333333332</v>
      </c>
      <c r="J27" s="54">
        <v>0.121</v>
      </c>
      <c r="K27" s="90">
        <v>0.124</v>
      </c>
      <c r="L27" s="54">
        <v>0.11600000000000001</v>
      </c>
      <c r="M27" s="56">
        <f t="shared" si="5"/>
        <v>0.12033333333333333</v>
      </c>
      <c r="N27" s="59">
        <v>630</v>
      </c>
      <c r="O27" s="110"/>
      <c r="P27" s="66">
        <v>0.13800000000000001</v>
      </c>
      <c r="Q27" s="65">
        <v>0.13300000000000001</v>
      </c>
      <c r="R27" s="68">
        <v>0.14099999999999999</v>
      </c>
      <c r="S27" s="56">
        <f t="shared" si="0"/>
        <v>0.13733333333333334</v>
      </c>
      <c r="T27" s="73">
        <v>0.17100000000000001</v>
      </c>
      <c r="U27" s="84">
        <v>0.16600000000000001</v>
      </c>
      <c r="V27" s="84">
        <v>0.16300000000000001</v>
      </c>
      <c r="W27" s="56">
        <f t="shared" si="1"/>
        <v>0.16666666666666666</v>
      </c>
      <c r="X27" s="84">
        <v>0.16500000000000001</v>
      </c>
      <c r="Y27" s="84">
        <v>0.16600000000000001</v>
      </c>
      <c r="Z27" s="64">
        <v>0.158</v>
      </c>
      <c r="AA27" s="56">
        <f t="shared" si="2"/>
        <v>0.16300000000000001</v>
      </c>
      <c r="AB27" s="59">
        <v>647</v>
      </c>
    </row>
    <row r="28" spans="1:28" ht="15.75" customHeight="1" x14ac:dyDescent="0.35">
      <c r="A28" s="110"/>
      <c r="B28" s="68">
        <v>0.15</v>
      </c>
      <c r="C28" s="66">
        <v>0.14000000000000001</v>
      </c>
      <c r="D28" s="66">
        <v>0.14599999999999999</v>
      </c>
      <c r="E28" s="56">
        <f t="shared" si="3"/>
        <v>0.14533333333333334</v>
      </c>
      <c r="F28" s="70">
        <v>0.126</v>
      </c>
      <c r="G28" s="91">
        <v>0.121</v>
      </c>
      <c r="H28" s="91">
        <v>0.11799999999999999</v>
      </c>
      <c r="I28" s="56">
        <f t="shared" si="4"/>
        <v>0.12166666666666666</v>
      </c>
      <c r="J28" s="91">
        <v>0.11799999999999999</v>
      </c>
      <c r="K28" s="91">
        <v>0.122</v>
      </c>
      <c r="L28" s="85">
        <v>0.114</v>
      </c>
      <c r="M28" s="56">
        <f t="shared" si="5"/>
        <v>0.11799999999999999</v>
      </c>
      <c r="N28" s="59">
        <v>647</v>
      </c>
      <c r="O28" s="110"/>
      <c r="P28" s="66">
        <v>0.24299999999999999</v>
      </c>
      <c r="Q28" s="65">
        <v>0.23899999999999999</v>
      </c>
      <c r="R28" s="66">
        <v>0.246</v>
      </c>
      <c r="S28" s="56">
        <f t="shared" si="0"/>
        <v>0.24266666666666667</v>
      </c>
      <c r="T28" s="84">
        <v>0.35599999999999998</v>
      </c>
      <c r="U28" s="84">
        <v>0.35</v>
      </c>
      <c r="V28" s="84">
        <v>0.34399999999999997</v>
      </c>
      <c r="W28" s="56">
        <f t="shared" si="1"/>
        <v>0.34999999999999992</v>
      </c>
      <c r="X28" s="64">
        <v>0.32800000000000001</v>
      </c>
      <c r="Y28" s="64">
        <v>0.33</v>
      </c>
      <c r="Z28" s="64">
        <v>0.315</v>
      </c>
      <c r="AA28" s="56">
        <f t="shared" si="2"/>
        <v>0.32433333333333336</v>
      </c>
      <c r="AB28" s="59">
        <v>663</v>
      </c>
    </row>
    <row r="29" spans="1:28" ht="15.75" customHeight="1" x14ac:dyDescent="0.35">
      <c r="A29" s="110"/>
      <c r="B29" s="65">
        <v>0.25</v>
      </c>
      <c r="C29" s="65">
        <v>0.247</v>
      </c>
      <c r="D29" s="65">
        <v>0.25</v>
      </c>
      <c r="E29" s="56">
        <f t="shared" si="3"/>
        <v>0.249</v>
      </c>
      <c r="F29" s="70">
        <v>0.224</v>
      </c>
      <c r="G29" s="70">
        <v>0.221</v>
      </c>
      <c r="H29" s="91">
        <v>0.20599999999999999</v>
      </c>
      <c r="I29" s="56">
        <f t="shared" si="4"/>
        <v>0.217</v>
      </c>
      <c r="J29" s="85">
        <v>0.16</v>
      </c>
      <c r="K29" s="85">
        <v>0.16700000000000001</v>
      </c>
      <c r="L29" s="85">
        <v>0.159</v>
      </c>
      <c r="M29" s="56">
        <f t="shared" si="5"/>
        <v>0.16200000000000001</v>
      </c>
      <c r="N29" s="59">
        <v>663</v>
      </c>
      <c r="O29" s="110"/>
      <c r="P29" s="65">
        <v>0.24199999999999999</v>
      </c>
      <c r="Q29" s="65">
        <v>0.23699999999999999</v>
      </c>
      <c r="R29" s="66">
        <v>0.24399999999999999</v>
      </c>
      <c r="S29" s="56">
        <f t="shared" si="0"/>
        <v>0.24099999999999999</v>
      </c>
      <c r="T29" s="84">
        <v>0.35199999999999998</v>
      </c>
      <c r="U29" s="84">
        <v>0.34599999999999997</v>
      </c>
      <c r="V29" s="84">
        <v>0.34</v>
      </c>
      <c r="W29" s="56">
        <f t="shared" si="1"/>
        <v>0.34600000000000003</v>
      </c>
      <c r="X29" s="64">
        <v>0.32500000000000001</v>
      </c>
      <c r="Y29" s="64">
        <v>0.32800000000000001</v>
      </c>
      <c r="Z29" s="64">
        <v>0.313</v>
      </c>
      <c r="AA29" s="56">
        <f t="shared" si="2"/>
        <v>0.32200000000000001</v>
      </c>
      <c r="AB29" s="59">
        <v>664</v>
      </c>
    </row>
    <row r="30" spans="1:28" ht="15.75" customHeight="1" x14ac:dyDescent="0.35">
      <c r="A30" s="110"/>
      <c r="B30" s="65">
        <v>0.249</v>
      </c>
      <c r="C30" s="65">
        <v>0.246</v>
      </c>
      <c r="D30" s="65">
        <v>0.249</v>
      </c>
      <c r="E30" s="56">
        <f t="shared" si="3"/>
        <v>0.248</v>
      </c>
      <c r="F30" s="70">
        <v>0.223</v>
      </c>
      <c r="G30" s="70">
        <v>0.221</v>
      </c>
      <c r="H30" s="91">
        <v>0.20599999999999999</v>
      </c>
      <c r="I30" s="56">
        <f t="shared" si="4"/>
        <v>0.21666666666666667</v>
      </c>
      <c r="J30" s="85">
        <v>0.159</v>
      </c>
      <c r="K30" s="85">
        <v>0.16600000000000001</v>
      </c>
      <c r="L30" s="85">
        <v>0.159</v>
      </c>
      <c r="M30" s="56">
        <f t="shared" si="5"/>
        <v>0.16133333333333333</v>
      </c>
      <c r="N30" s="59">
        <v>664</v>
      </c>
      <c r="O30" s="110"/>
      <c r="P30" s="66">
        <v>9.0999999999999998E-2</v>
      </c>
      <c r="Q30" s="70">
        <v>8.7999999999999995E-2</v>
      </c>
      <c r="R30" s="68">
        <v>9.4E-2</v>
      </c>
      <c r="S30" s="56">
        <f t="shared" si="0"/>
        <v>9.1000000000000011E-2</v>
      </c>
      <c r="T30" s="65">
        <v>9.0999999999999998E-2</v>
      </c>
      <c r="U30" s="70">
        <v>8.7999999999999995E-2</v>
      </c>
      <c r="V30" s="85">
        <v>8.5000000000000006E-2</v>
      </c>
      <c r="W30" s="56">
        <f t="shared" si="1"/>
        <v>8.8000000000000009E-2</v>
      </c>
      <c r="X30" s="84">
        <v>9.9000000000000005E-2</v>
      </c>
      <c r="Y30" s="84">
        <v>0.1</v>
      </c>
      <c r="Z30" s="68">
        <v>9.4E-2</v>
      </c>
      <c r="AA30" s="56">
        <f t="shared" si="2"/>
        <v>9.7666666666666679E-2</v>
      </c>
      <c r="AB30" s="59">
        <v>691</v>
      </c>
    </row>
    <row r="31" spans="1:28" ht="15.75" customHeight="1" x14ac:dyDescent="0.35">
      <c r="A31" s="110"/>
      <c r="B31" s="64">
        <v>0.10199999999999999</v>
      </c>
      <c r="C31" s="70">
        <v>0.09</v>
      </c>
      <c r="D31" s="66">
        <v>9.6000000000000002E-2</v>
      </c>
      <c r="E31" s="56">
        <f t="shared" si="3"/>
        <v>9.6000000000000016E-2</v>
      </c>
      <c r="F31" s="85">
        <v>8.5000000000000006E-2</v>
      </c>
      <c r="G31" s="92">
        <v>8.1000000000000003E-2</v>
      </c>
      <c r="H31" s="92">
        <v>8.2000000000000003E-2</v>
      </c>
      <c r="I31" s="56">
        <f t="shared" si="4"/>
        <v>8.2666666666666666E-2</v>
      </c>
      <c r="J31" s="65">
        <v>9.1999999999999998E-2</v>
      </c>
      <c r="K31" s="65">
        <v>9.4E-2</v>
      </c>
      <c r="L31" s="91">
        <v>8.7999999999999995E-2</v>
      </c>
      <c r="M31" s="56">
        <f t="shared" si="5"/>
        <v>9.1333333333333336E-2</v>
      </c>
      <c r="N31" s="59">
        <v>691</v>
      </c>
      <c r="O31" s="111"/>
      <c r="P31" s="75">
        <v>8.7999999999999995E-2</v>
      </c>
      <c r="Q31" s="87">
        <v>8.5000000000000006E-2</v>
      </c>
      <c r="R31" s="76">
        <v>0.09</v>
      </c>
      <c r="S31" s="56">
        <f t="shared" si="0"/>
        <v>8.7666666666666671E-2</v>
      </c>
      <c r="T31" s="87">
        <v>8.5999999999999993E-2</v>
      </c>
      <c r="U31" s="88">
        <v>8.2000000000000003E-2</v>
      </c>
      <c r="V31" s="95">
        <v>0.08</v>
      </c>
      <c r="W31" s="56">
        <f t="shared" si="1"/>
        <v>8.2666666666666666E-2</v>
      </c>
      <c r="X31" s="74">
        <v>9.2999999999999999E-2</v>
      </c>
      <c r="Y31" s="89">
        <v>9.4E-2</v>
      </c>
      <c r="Z31" s="75">
        <v>8.8999999999999996E-2</v>
      </c>
      <c r="AA31" s="56">
        <f t="shared" si="2"/>
        <v>9.2000000000000012E-2</v>
      </c>
      <c r="AB31" s="59">
        <v>697</v>
      </c>
    </row>
    <row r="32" spans="1:28" ht="15.75" customHeight="1" x14ac:dyDescent="0.35">
      <c r="A32" s="111"/>
      <c r="B32" s="89">
        <v>9.8000000000000004E-2</v>
      </c>
      <c r="C32" s="87">
        <v>8.5999999999999993E-2</v>
      </c>
      <c r="D32" s="76">
        <v>9.0999999999999998E-2</v>
      </c>
      <c r="E32" s="56">
        <f t="shared" si="3"/>
        <v>9.1666666666666674E-2</v>
      </c>
      <c r="F32" s="88">
        <v>8.1000000000000003E-2</v>
      </c>
      <c r="G32" s="96">
        <v>7.6999999999999999E-2</v>
      </c>
      <c r="H32" s="96">
        <v>7.8E-2</v>
      </c>
      <c r="I32" s="56">
        <f t="shared" si="4"/>
        <v>7.8666666666666663E-2</v>
      </c>
      <c r="J32" s="75">
        <v>8.8999999999999996E-2</v>
      </c>
      <c r="K32" s="75">
        <v>9.0999999999999998E-2</v>
      </c>
      <c r="L32" s="97">
        <v>8.5000000000000006E-2</v>
      </c>
      <c r="M32" s="56">
        <f t="shared" si="5"/>
        <v>8.8333333333333333E-2</v>
      </c>
      <c r="N32" s="59">
        <v>697</v>
      </c>
      <c r="O32" s="109" t="s">
        <v>102</v>
      </c>
      <c r="P32" s="79">
        <v>0.14899999999999999</v>
      </c>
      <c r="Q32" s="61">
        <v>0.14199999999999999</v>
      </c>
      <c r="R32" s="82">
        <v>0.14699999999999999</v>
      </c>
      <c r="S32" s="56">
        <f t="shared" si="0"/>
        <v>0.14599999999999999</v>
      </c>
      <c r="T32" s="56"/>
      <c r="U32" s="56"/>
      <c r="V32" s="56"/>
      <c r="W32" s="56"/>
      <c r="X32" s="61">
        <v>0.13600000000000001</v>
      </c>
      <c r="Y32" s="61">
        <v>0.13800000000000001</v>
      </c>
      <c r="Z32" s="60">
        <v>0.13200000000000001</v>
      </c>
      <c r="AA32" s="56">
        <f t="shared" si="2"/>
        <v>0.13533333333333333</v>
      </c>
      <c r="AB32" s="59">
        <v>630</v>
      </c>
    </row>
    <row r="33" spans="1:28" ht="15.75" customHeight="1" x14ac:dyDescent="0.35">
      <c r="A33" s="109" t="s">
        <v>102</v>
      </c>
      <c r="B33" s="83">
        <v>0.13600000000000001</v>
      </c>
      <c r="C33" s="83">
        <v>0.13400000000000001</v>
      </c>
      <c r="D33" s="60">
        <v>0.14000000000000001</v>
      </c>
      <c r="E33" s="56">
        <f t="shared" si="3"/>
        <v>0.13666666666666669</v>
      </c>
      <c r="F33" s="54">
        <v>0.11700000000000001</v>
      </c>
      <c r="G33" s="54">
        <v>0.121</v>
      </c>
      <c r="H33" s="54">
        <v>0.11700000000000001</v>
      </c>
      <c r="I33" s="56">
        <f t="shared" si="4"/>
        <v>0.11833333333333333</v>
      </c>
      <c r="J33" s="79">
        <v>0.16500000000000001</v>
      </c>
      <c r="K33" s="80">
        <v>0.17899999999999999</v>
      </c>
      <c r="L33" s="79">
        <v>0.16600000000000001</v>
      </c>
      <c r="M33" s="56">
        <f t="shared" si="5"/>
        <v>0.17</v>
      </c>
      <c r="N33" s="59">
        <v>630</v>
      </c>
      <c r="O33" s="110"/>
      <c r="P33" s="68">
        <v>0.14399999999999999</v>
      </c>
      <c r="Q33" s="66">
        <v>0.13800000000000001</v>
      </c>
      <c r="R33" s="68">
        <v>0.14199999999999999</v>
      </c>
      <c r="S33" s="56">
        <f t="shared" si="0"/>
        <v>0.14133333333333334</v>
      </c>
      <c r="T33" s="98"/>
      <c r="U33" s="98"/>
      <c r="V33" s="98"/>
      <c r="W33" s="98"/>
      <c r="X33" s="65">
        <v>0.13200000000000001</v>
      </c>
      <c r="Y33" s="66">
        <v>0.13400000000000001</v>
      </c>
      <c r="Z33" s="65">
        <v>0.129</v>
      </c>
      <c r="AA33" s="56">
        <f t="shared" si="2"/>
        <v>0.13166666666666668</v>
      </c>
      <c r="AB33" s="59">
        <v>647</v>
      </c>
    </row>
    <row r="34" spans="1:28" ht="15.75" customHeight="1" x14ac:dyDescent="0.35">
      <c r="A34" s="110"/>
      <c r="B34" s="65">
        <v>0.13200000000000001</v>
      </c>
      <c r="C34" s="70">
        <v>0.13100000000000001</v>
      </c>
      <c r="D34" s="65">
        <v>0.13700000000000001</v>
      </c>
      <c r="E34" s="56">
        <f t="shared" si="3"/>
        <v>0.13333333333333333</v>
      </c>
      <c r="F34" s="85">
        <v>0.11600000000000001</v>
      </c>
      <c r="G34" s="91">
        <v>0.12</v>
      </c>
      <c r="H34" s="85">
        <v>0.11600000000000001</v>
      </c>
      <c r="I34" s="56">
        <f t="shared" si="4"/>
        <v>0.11733333333333333</v>
      </c>
      <c r="J34" s="64">
        <v>0.16600000000000001</v>
      </c>
      <c r="K34" s="73">
        <v>0.18</v>
      </c>
      <c r="L34" s="64">
        <v>0.16800000000000001</v>
      </c>
      <c r="M34" s="56">
        <f t="shared" si="5"/>
        <v>0.17133333333333334</v>
      </c>
      <c r="N34" s="59">
        <v>647</v>
      </c>
      <c r="O34" s="110"/>
      <c r="P34" s="68">
        <v>0.26600000000000001</v>
      </c>
      <c r="Q34" s="66">
        <v>0.25900000000000001</v>
      </c>
      <c r="R34" s="66">
        <v>0.26300000000000001</v>
      </c>
      <c r="S34" s="56">
        <f t="shared" si="0"/>
        <v>0.26266666666666666</v>
      </c>
      <c r="T34" s="98"/>
      <c r="U34" s="98"/>
      <c r="V34" s="98"/>
      <c r="W34" s="98"/>
      <c r="X34" s="65">
        <v>0.221</v>
      </c>
      <c r="Y34" s="65">
        <v>0.223</v>
      </c>
      <c r="Z34" s="70">
        <v>0.216</v>
      </c>
      <c r="AA34" s="56">
        <f t="shared" si="2"/>
        <v>0.22</v>
      </c>
      <c r="AB34" s="59">
        <v>663</v>
      </c>
    </row>
    <row r="35" spans="1:28" ht="15.75" customHeight="1" x14ac:dyDescent="0.35">
      <c r="A35" s="110"/>
      <c r="B35" s="70">
        <v>0.22900000000000001</v>
      </c>
      <c r="C35" s="65">
        <v>0.23400000000000001</v>
      </c>
      <c r="D35" s="65">
        <v>0.23899999999999999</v>
      </c>
      <c r="E35" s="56">
        <f t="shared" si="3"/>
        <v>0.23399999999999999</v>
      </c>
      <c r="F35" s="91">
        <v>0.2</v>
      </c>
      <c r="G35" s="70">
        <v>0.21199999999999999</v>
      </c>
      <c r="H35" s="91">
        <v>0.20699999999999999</v>
      </c>
      <c r="I35" s="56">
        <f t="shared" si="4"/>
        <v>0.20633333333333334</v>
      </c>
      <c r="J35" s="64">
        <v>0.33600000000000002</v>
      </c>
      <c r="K35" s="84">
        <v>0.36499999999999999</v>
      </c>
      <c r="L35" s="64">
        <v>0.35099999999999998</v>
      </c>
      <c r="M35" s="56">
        <f t="shared" si="5"/>
        <v>0.35066666666666668</v>
      </c>
      <c r="N35" s="59">
        <v>663</v>
      </c>
      <c r="O35" s="110"/>
      <c r="P35" s="66">
        <v>0.26400000000000001</v>
      </c>
      <c r="Q35" s="66">
        <v>0.25700000000000001</v>
      </c>
      <c r="R35" s="66">
        <v>0.26200000000000001</v>
      </c>
      <c r="S35" s="56">
        <f t="shared" si="0"/>
        <v>0.26100000000000001</v>
      </c>
      <c r="T35" s="98"/>
      <c r="U35" s="98"/>
      <c r="V35" s="98"/>
      <c r="W35" s="98"/>
      <c r="X35" s="70">
        <v>0.219</v>
      </c>
      <c r="Y35" s="65">
        <v>0.222</v>
      </c>
      <c r="Z35" s="70">
        <v>0.215</v>
      </c>
      <c r="AA35" s="56">
        <f t="shared" si="2"/>
        <v>0.21866666666666668</v>
      </c>
      <c r="AB35" s="59">
        <v>664</v>
      </c>
    </row>
    <row r="36" spans="1:28" ht="15.75" customHeight="1" x14ac:dyDescent="0.35">
      <c r="A36" s="110"/>
      <c r="B36" s="70">
        <v>0.22700000000000001</v>
      </c>
      <c r="C36" s="65">
        <v>0.23200000000000001</v>
      </c>
      <c r="D36" s="65">
        <v>0.23699999999999999</v>
      </c>
      <c r="E36" s="56">
        <f t="shared" si="3"/>
        <v>0.23199999999999998</v>
      </c>
      <c r="F36" s="91">
        <v>0.19900000000000001</v>
      </c>
      <c r="G36" s="70">
        <v>0.21099999999999999</v>
      </c>
      <c r="H36" s="91">
        <v>0.20599999999999999</v>
      </c>
      <c r="I36" s="56">
        <f t="shared" si="4"/>
        <v>0.20533333333333334</v>
      </c>
      <c r="J36" s="64">
        <v>0.33500000000000002</v>
      </c>
      <c r="K36" s="84">
        <v>0.36299999999999999</v>
      </c>
      <c r="L36" s="64">
        <v>0.34799999999999998</v>
      </c>
      <c r="M36" s="56">
        <f t="shared" si="5"/>
        <v>0.34866666666666662</v>
      </c>
      <c r="N36" s="59">
        <v>664</v>
      </c>
      <c r="O36" s="110"/>
      <c r="P36" s="66">
        <v>9.2999999999999999E-2</v>
      </c>
      <c r="Q36" s="85">
        <v>8.5000000000000006E-2</v>
      </c>
      <c r="R36" s="65">
        <v>9.0999999999999998E-2</v>
      </c>
      <c r="S36" s="56">
        <f t="shared" si="0"/>
        <v>8.9666666666666672E-2</v>
      </c>
      <c r="T36" s="98"/>
      <c r="U36" s="98"/>
      <c r="V36" s="98"/>
      <c r="W36" s="98"/>
      <c r="X36" s="65">
        <v>9.0999999999999998E-2</v>
      </c>
      <c r="Y36" s="66">
        <v>9.1999999999999998E-2</v>
      </c>
      <c r="Z36" s="70">
        <v>8.7999999999999995E-2</v>
      </c>
      <c r="AA36" s="56">
        <f t="shared" si="2"/>
        <v>9.0333333333333335E-2</v>
      </c>
      <c r="AB36" s="59">
        <v>691</v>
      </c>
    </row>
    <row r="37" spans="1:28" ht="15.75" customHeight="1" x14ac:dyDescent="0.35">
      <c r="A37" s="110"/>
      <c r="B37" s="91">
        <v>8.8999999999999996E-2</v>
      </c>
      <c r="C37" s="85">
        <v>8.5000000000000006E-2</v>
      </c>
      <c r="D37" s="70">
        <v>9.0999999999999998E-2</v>
      </c>
      <c r="E37" s="56">
        <f t="shared" si="3"/>
        <v>8.8333333333333333E-2</v>
      </c>
      <c r="F37" s="62">
        <v>8.3000000000000004E-2</v>
      </c>
      <c r="G37" s="62">
        <v>8.3000000000000004E-2</v>
      </c>
      <c r="H37" s="92">
        <v>0.08</v>
      </c>
      <c r="I37" s="56">
        <f t="shared" si="4"/>
        <v>8.2000000000000003E-2</v>
      </c>
      <c r="J37" s="69">
        <v>0.1</v>
      </c>
      <c r="K37" s="63">
        <v>0.111</v>
      </c>
      <c r="L37" s="69">
        <v>0.1</v>
      </c>
      <c r="M37" s="56">
        <f t="shared" si="5"/>
        <v>0.10366666666666668</v>
      </c>
      <c r="N37" s="59">
        <v>691</v>
      </c>
      <c r="O37" s="111"/>
      <c r="P37" s="76">
        <v>8.8999999999999996E-2</v>
      </c>
      <c r="Q37" s="95">
        <v>8.1000000000000003E-2</v>
      </c>
      <c r="R37" s="86">
        <v>8.6999999999999994E-2</v>
      </c>
      <c r="S37" s="56">
        <f t="shared" si="0"/>
        <v>8.5666666666666669E-2</v>
      </c>
      <c r="T37" s="99"/>
      <c r="U37" s="99"/>
      <c r="V37" s="99"/>
      <c r="W37" s="99"/>
      <c r="X37" s="86">
        <v>8.6999999999999994E-2</v>
      </c>
      <c r="Y37" s="75">
        <v>8.8999999999999996E-2</v>
      </c>
      <c r="Z37" s="97">
        <v>8.4000000000000005E-2</v>
      </c>
      <c r="AA37" s="56">
        <f t="shared" si="2"/>
        <v>8.666666666666667E-2</v>
      </c>
      <c r="AB37" s="59">
        <v>697</v>
      </c>
    </row>
    <row r="38" spans="1:28" ht="15.75" customHeight="1" x14ac:dyDescent="0.35">
      <c r="A38" s="111"/>
      <c r="B38" s="87">
        <v>8.5999999999999993E-2</v>
      </c>
      <c r="C38" s="88">
        <v>8.1000000000000003E-2</v>
      </c>
      <c r="D38" s="86">
        <v>8.7999999999999995E-2</v>
      </c>
      <c r="E38" s="56">
        <f t="shared" si="3"/>
        <v>8.5000000000000006E-2</v>
      </c>
      <c r="F38" s="96">
        <v>7.9000000000000001E-2</v>
      </c>
      <c r="G38" s="95">
        <v>7.9000000000000001E-2</v>
      </c>
      <c r="H38" s="100">
        <v>7.5999999999999998E-2</v>
      </c>
      <c r="I38" s="56">
        <f t="shared" si="4"/>
        <v>7.8E-2</v>
      </c>
      <c r="J38" s="78">
        <v>9.2999999999999999E-2</v>
      </c>
      <c r="K38" s="77">
        <v>0.10299999999999999</v>
      </c>
      <c r="L38" s="76">
        <v>9.2999999999999999E-2</v>
      </c>
      <c r="M38" s="56">
        <f t="shared" si="5"/>
        <v>9.633333333333334E-2</v>
      </c>
      <c r="N38" s="59">
        <v>697</v>
      </c>
      <c r="O38" s="109" t="s">
        <v>109</v>
      </c>
      <c r="P38" s="79">
        <v>0.152</v>
      </c>
      <c r="Q38" s="61">
        <v>0.13900000000000001</v>
      </c>
      <c r="R38" s="58">
        <v>0.155</v>
      </c>
      <c r="S38" s="56">
        <f t="shared" si="0"/>
        <v>0.1486666666666667</v>
      </c>
      <c r="T38" s="56"/>
      <c r="U38" s="56"/>
      <c r="V38" s="56"/>
      <c r="W38" s="56"/>
      <c r="X38" s="82">
        <v>0.14599999999999999</v>
      </c>
      <c r="Y38" s="82">
        <v>0.14799999999999999</v>
      </c>
      <c r="Z38" s="61">
        <v>0.13800000000000001</v>
      </c>
      <c r="AA38" s="56">
        <f t="shared" si="2"/>
        <v>0.14399999999999999</v>
      </c>
      <c r="AB38" s="59">
        <v>630</v>
      </c>
    </row>
    <row r="39" spans="1:28" ht="15.75" customHeight="1" x14ac:dyDescent="0.35">
      <c r="A39" s="109" t="s">
        <v>109</v>
      </c>
      <c r="B39" s="82">
        <v>0.155</v>
      </c>
      <c r="C39" s="61">
        <v>0.14699999999999999</v>
      </c>
      <c r="D39" s="61">
        <v>0.14899999999999999</v>
      </c>
      <c r="E39" s="56">
        <f t="shared" si="3"/>
        <v>0.15033333333333332</v>
      </c>
      <c r="F39" s="55">
        <v>0.109</v>
      </c>
      <c r="G39" s="55">
        <v>0.11</v>
      </c>
      <c r="H39" s="54">
        <v>0.12</v>
      </c>
      <c r="I39" s="56">
        <f t="shared" si="4"/>
        <v>0.11299999999999999</v>
      </c>
      <c r="J39" s="83">
        <v>0.13300000000000001</v>
      </c>
      <c r="K39" s="83">
        <v>0.13500000000000001</v>
      </c>
      <c r="L39" s="90">
        <v>0.126</v>
      </c>
      <c r="M39" s="56">
        <f t="shared" si="5"/>
        <v>0.13133333333333333</v>
      </c>
      <c r="N39" s="59">
        <v>630</v>
      </c>
      <c r="O39" s="110"/>
      <c r="P39" s="69">
        <v>0.151</v>
      </c>
      <c r="Q39" s="66">
        <v>0.13900000000000001</v>
      </c>
      <c r="R39" s="64">
        <v>0.155</v>
      </c>
      <c r="S39" s="56">
        <f t="shared" si="0"/>
        <v>0.14833333333333334</v>
      </c>
      <c r="T39" s="98"/>
      <c r="U39" s="98"/>
      <c r="V39" s="98"/>
      <c r="W39" s="98"/>
      <c r="X39" s="69">
        <v>0.15</v>
      </c>
      <c r="Y39" s="69">
        <v>0.152</v>
      </c>
      <c r="Z39" s="68">
        <v>0.14099999999999999</v>
      </c>
      <c r="AA39" s="56">
        <f t="shared" si="2"/>
        <v>0.14766666666666664</v>
      </c>
      <c r="AB39" s="59">
        <v>647</v>
      </c>
    </row>
    <row r="40" spans="1:28" ht="15.75" customHeight="1" x14ac:dyDescent="0.35">
      <c r="A40" s="110"/>
      <c r="B40" s="66">
        <v>0.14499999999999999</v>
      </c>
      <c r="C40" s="65">
        <v>0.13800000000000001</v>
      </c>
      <c r="D40" s="65">
        <v>0.13900000000000001</v>
      </c>
      <c r="E40" s="56">
        <f t="shared" si="3"/>
        <v>0.14066666666666669</v>
      </c>
      <c r="F40" s="62">
        <v>0.107</v>
      </c>
      <c r="G40" s="62">
        <v>0.107</v>
      </c>
      <c r="H40" s="91">
        <v>0.11799999999999999</v>
      </c>
      <c r="I40" s="56">
        <f t="shared" si="4"/>
        <v>0.11066666666666665</v>
      </c>
      <c r="J40" s="70">
        <v>0.129</v>
      </c>
      <c r="K40" s="70">
        <v>0.13</v>
      </c>
      <c r="L40" s="91">
        <v>0.121</v>
      </c>
      <c r="M40" s="56">
        <f t="shared" si="5"/>
        <v>0.12666666666666668</v>
      </c>
      <c r="N40" s="59">
        <v>647</v>
      </c>
      <c r="O40" s="110"/>
      <c r="P40" s="69">
        <v>0.29299999999999998</v>
      </c>
      <c r="Q40" s="68">
        <v>0.27</v>
      </c>
      <c r="R40" s="69">
        <v>0.30399999999999999</v>
      </c>
      <c r="S40" s="56">
        <f t="shared" si="0"/>
        <v>0.28899999999999998</v>
      </c>
      <c r="T40" s="98"/>
      <c r="U40" s="98"/>
      <c r="V40" s="98"/>
      <c r="W40" s="98"/>
      <c r="X40" s="68">
        <v>0.27700000000000002</v>
      </c>
      <c r="Y40" s="68">
        <v>0.27800000000000002</v>
      </c>
      <c r="Z40" s="68">
        <v>0.26600000000000001</v>
      </c>
      <c r="AA40" s="56">
        <f t="shared" si="2"/>
        <v>0.27366666666666667</v>
      </c>
      <c r="AB40" s="59">
        <v>663</v>
      </c>
    </row>
    <row r="41" spans="1:28" ht="15.75" customHeight="1" x14ac:dyDescent="0.35">
      <c r="A41" s="110"/>
      <c r="B41" s="66">
        <v>0.26100000000000001</v>
      </c>
      <c r="C41" s="66">
        <v>0.25900000000000001</v>
      </c>
      <c r="D41" s="65">
        <v>0.255</v>
      </c>
      <c r="E41" s="56">
        <f t="shared" si="3"/>
        <v>0.25833333333333336</v>
      </c>
      <c r="F41" s="85">
        <v>0.16700000000000001</v>
      </c>
      <c r="G41" s="85">
        <v>0.17399999999999999</v>
      </c>
      <c r="H41" s="85">
        <v>0.18</v>
      </c>
      <c r="I41" s="56">
        <f t="shared" si="4"/>
        <v>0.17366666666666664</v>
      </c>
      <c r="J41" s="70">
        <v>0.21099999999999999</v>
      </c>
      <c r="K41" s="70">
        <v>0.216</v>
      </c>
      <c r="L41" s="70">
        <v>0.20799999999999999</v>
      </c>
      <c r="M41" s="56">
        <f t="shared" si="5"/>
        <v>0.21166666666666667</v>
      </c>
      <c r="N41" s="59">
        <v>663</v>
      </c>
      <c r="O41" s="110"/>
      <c r="P41" s="69">
        <v>0.28899999999999998</v>
      </c>
      <c r="Q41" s="68">
        <v>0.26700000000000002</v>
      </c>
      <c r="R41" s="69">
        <v>0.3</v>
      </c>
      <c r="S41" s="56">
        <f t="shared" si="0"/>
        <v>0.28533333333333338</v>
      </c>
      <c r="T41" s="98"/>
      <c r="U41" s="98"/>
      <c r="V41" s="98"/>
      <c r="W41" s="98"/>
      <c r="X41" s="68">
        <v>0.27400000000000002</v>
      </c>
      <c r="Y41" s="68">
        <v>0.27500000000000002</v>
      </c>
      <c r="Z41" s="66">
        <v>0.26300000000000001</v>
      </c>
      <c r="AA41" s="56">
        <f t="shared" si="2"/>
        <v>0.27066666666666667</v>
      </c>
      <c r="AB41" s="59">
        <v>664</v>
      </c>
    </row>
    <row r="42" spans="1:28" ht="15.75" customHeight="1" x14ac:dyDescent="0.35">
      <c r="A42" s="110"/>
      <c r="B42" s="66">
        <v>0.26</v>
      </c>
      <c r="C42" s="66">
        <v>0.25700000000000001</v>
      </c>
      <c r="D42" s="65">
        <v>0.254</v>
      </c>
      <c r="E42" s="56">
        <f t="shared" si="3"/>
        <v>0.25700000000000001</v>
      </c>
      <c r="F42" s="85">
        <v>0.16500000000000001</v>
      </c>
      <c r="G42" s="85">
        <v>0.17199999999999999</v>
      </c>
      <c r="H42" s="85">
        <v>0.17799999999999999</v>
      </c>
      <c r="I42" s="56">
        <f t="shared" si="4"/>
        <v>0.17166666666666663</v>
      </c>
      <c r="J42" s="70">
        <v>0.21</v>
      </c>
      <c r="K42" s="70">
        <v>0.215</v>
      </c>
      <c r="L42" s="70">
        <v>0.20699999999999999</v>
      </c>
      <c r="M42" s="56">
        <f t="shared" si="5"/>
        <v>0.21066666666666667</v>
      </c>
      <c r="N42" s="59">
        <v>664</v>
      </c>
      <c r="O42" s="110"/>
      <c r="P42" s="70">
        <v>8.8999999999999996E-2</v>
      </c>
      <c r="Q42" s="62">
        <v>8.4000000000000005E-2</v>
      </c>
      <c r="R42" s="70">
        <v>8.8999999999999996E-2</v>
      </c>
      <c r="S42" s="56">
        <f t="shared" si="0"/>
        <v>8.7333333333333332E-2</v>
      </c>
      <c r="T42" s="98"/>
      <c r="U42" s="98"/>
      <c r="V42" s="98"/>
      <c r="W42" s="98"/>
      <c r="X42" s="66">
        <v>9.1999999999999998E-2</v>
      </c>
      <c r="Y42" s="68">
        <v>9.4E-2</v>
      </c>
      <c r="Z42" s="85">
        <v>8.5999999999999993E-2</v>
      </c>
      <c r="AA42" s="56">
        <f t="shared" si="2"/>
        <v>9.0666666666666673E-2</v>
      </c>
      <c r="AB42" s="59">
        <v>691</v>
      </c>
    </row>
    <row r="43" spans="1:28" ht="15.75" customHeight="1" x14ac:dyDescent="0.35">
      <c r="A43" s="110"/>
      <c r="B43" s="65">
        <v>9.2999999999999999E-2</v>
      </c>
      <c r="C43" s="91">
        <v>8.7999999999999995E-2</v>
      </c>
      <c r="D43" s="91">
        <v>8.6999999999999994E-2</v>
      </c>
      <c r="E43" s="56">
        <f t="shared" si="3"/>
        <v>8.9333333333333334E-2</v>
      </c>
      <c r="F43" s="67">
        <v>7.9000000000000001E-2</v>
      </c>
      <c r="G43" s="67">
        <v>7.6999999999999999E-2</v>
      </c>
      <c r="H43" s="91">
        <v>8.8999999999999996E-2</v>
      </c>
      <c r="I43" s="56">
        <f t="shared" si="4"/>
        <v>8.1666666666666665E-2</v>
      </c>
      <c r="J43" s="70">
        <v>0.09</v>
      </c>
      <c r="K43" s="70">
        <v>0.09</v>
      </c>
      <c r="L43" s="62">
        <v>8.3000000000000004E-2</v>
      </c>
      <c r="M43" s="56">
        <f t="shared" si="5"/>
        <v>8.7666666666666671E-2</v>
      </c>
      <c r="N43" s="59">
        <v>691</v>
      </c>
      <c r="O43" s="111"/>
      <c r="P43" s="87">
        <v>8.5000000000000006E-2</v>
      </c>
      <c r="Q43" s="95">
        <v>0.08</v>
      </c>
      <c r="R43" s="87">
        <v>8.5000000000000006E-2</v>
      </c>
      <c r="S43" s="56">
        <f t="shared" si="0"/>
        <v>8.3333333333333329E-2</v>
      </c>
      <c r="T43" s="99"/>
      <c r="U43" s="99"/>
      <c r="V43" s="99"/>
      <c r="W43" s="99"/>
      <c r="X43" s="86">
        <v>8.6999999999999994E-2</v>
      </c>
      <c r="Y43" s="76">
        <v>8.8999999999999996E-2</v>
      </c>
      <c r="Z43" s="88">
        <v>8.1000000000000003E-2</v>
      </c>
      <c r="AA43" s="56">
        <f t="shared" si="2"/>
        <v>8.5666666666666669E-2</v>
      </c>
      <c r="AB43" s="59">
        <v>697</v>
      </c>
    </row>
    <row r="44" spans="1:28" ht="15.75" customHeight="1" x14ac:dyDescent="0.35">
      <c r="A44" s="111"/>
      <c r="B44" s="75">
        <v>0.09</v>
      </c>
      <c r="C44" s="97">
        <v>8.4000000000000005E-2</v>
      </c>
      <c r="D44" s="97">
        <v>8.3000000000000004E-2</v>
      </c>
      <c r="E44" s="56">
        <f t="shared" si="3"/>
        <v>8.5666666666666669E-2</v>
      </c>
      <c r="F44" s="100">
        <v>7.6999999999999999E-2</v>
      </c>
      <c r="G44" s="100">
        <v>7.4999999999999997E-2</v>
      </c>
      <c r="H44" s="87">
        <v>8.5999999999999993E-2</v>
      </c>
      <c r="I44" s="56">
        <f t="shared" si="4"/>
        <v>7.9333333333333325E-2</v>
      </c>
      <c r="J44" s="87">
        <v>8.5999999999999993E-2</v>
      </c>
      <c r="K44" s="87">
        <v>8.5999999999999993E-2</v>
      </c>
      <c r="L44" s="95">
        <v>7.9000000000000001E-2</v>
      </c>
      <c r="M44" s="56">
        <f t="shared" si="5"/>
        <v>8.3666666666666667E-2</v>
      </c>
      <c r="N44" s="59">
        <v>697</v>
      </c>
      <c r="O44" s="109" t="s">
        <v>115</v>
      </c>
      <c r="P44" s="61">
        <v>0.13800000000000001</v>
      </c>
      <c r="Q44" s="60">
        <v>0.13</v>
      </c>
      <c r="R44" s="60">
        <v>0.13400000000000001</v>
      </c>
      <c r="S44" s="56">
        <f t="shared" si="0"/>
        <v>0.13400000000000001</v>
      </c>
      <c r="T44" s="56"/>
      <c r="U44" s="56"/>
      <c r="V44" s="56"/>
      <c r="W44" s="56"/>
      <c r="X44" s="82">
        <v>0.14799999999999999</v>
      </c>
      <c r="Y44" s="79">
        <v>0.15</v>
      </c>
      <c r="Z44" s="61">
        <v>0.13800000000000001</v>
      </c>
      <c r="AA44" s="56">
        <f t="shared" si="2"/>
        <v>0.14533333333333334</v>
      </c>
      <c r="AB44" s="59">
        <v>630</v>
      </c>
    </row>
    <row r="45" spans="1:28" ht="15.75" customHeight="1" x14ac:dyDescent="0.35">
      <c r="A45" s="109" t="s">
        <v>115</v>
      </c>
      <c r="B45" s="82">
        <v>0.158</v>
      </c>
      <c r="C45" s="58">
        <v>0.17199999999999999</v>
      </c>
      <c r="D45" s="58">
        <v>0.17599999999999999</v>
      </c>
      <c r="E45" s="56">
        <f t="shared" si="3"/>
        <v>0.16866666666666666</v>
      </c>
      <c r="F45" s="101">
        <v>0.10299999999999999</v>
      </c>
      <c r="G45" s="55">
        <v>0.109</v>
      </c>
      <c r="H45" s="55">
        <v>0.106</v>
      </c>
      <c r="I45" s="56">
        <f t="shared" si="4"/>
        <v>0.106</v>
      </c>
      <c r="J45" s="102"/>
      <c r="K45" s="102"/>
      <c r="L45" s="102"/>
      <c r="M45" s="56"/>
      <c r="N45" s="59">
        <v>630</v>
      </c>
      <c r="O45" s="110"/>
      <c r="P45" s="66">
        <v>0.13800000000000001</v>
      </c>
      <c r="Q45" s="65">
        <v>0.13</v>
      </c>
      <c r="R45" s="66">
        <v>0.13400000000000001</v>
      </c>
      <c r="S45" s="56">
        <f t="shared" si="0"/>
        <v>0.13400000000000001</v>
      </c>
      <c r="T45" s="98"/>
      <c r="U45" s="98"/>
      <c r="V45" s="98"/>
      <c r="W45" s="98"/>
      <c r="X45" s="68">
        <v>0.14499999999999999</v>
      </c>
      <c r="Y45" s="68">
        <v>0.14699999999999999</v>
      </c>
      <c r="Z45" s="66">
        <v>0.13500000000000001</v>
      </c>
      <c r="AA45" s="56">
        <f t="shared" si="2"/>
        <v>0.14233333333333334</v>
      </c>
      <c r="AB45" s="59">
        <v>647</v>
      </c>
    </row>
    <row r="46" spans="1:28" ht="15.75" customHeight="1" x14ac:dyDescent="0.35">
      <c r="A46" s="110"/>
      <c r="B46" s="68">
        <v>0.151</v>
      </c>
      <c r="C46" s="64">
        <v>0.16500000000000001</v>
      </c>
      <c r="D46" s="64">
        <v>0.16900000000000001</v>
      </c>
      <c r="E46" s="56">
        <f t="shared" si="3"/>
        <v>0.16166666666666665</v>
      </c>
      <c r="F46" s="92">
        <v>0.10100000000000001</v>
      </c>
      <c r="G46" s="62">
        <v>0.108</v>
      </c>
      <c r="H46" s="62">
        <v>0.105</v>
      </c>
      <c r="I46" s="56">
        <f t="shared" si="4"/>
        <v>0.10466666666666667</v>
      </c>
      <c r="J46" s="67"/>
      <c r="K46" s="92"/>
      <c r="L46" s="67"/>
      <c r="M46" s="98"/>
      <c r="N46" s="59">
        <v>647</v>
      </c>
      <c r="O46" s="110"/>
      <c r="P46" s="66">
        <v>0.25900000000000001</v>
      </c>
      <c r="Q46" s="66">
        <v>0.251</v>
      </c>
      <c r="R46" s="66">
        <v>0.247</v>
      </c>
      <c r="S46" s="56">
        <f t="shared" si="0"/>
        <v>0.25233333333333335</v>
      </c>
      <c r="T46" s="98"/>
      <c r="U46" s="98"/>
      <c r="V46" s="98"/>
      <c r="W46" s="98"/>
      <c r="X46" s="68">
        <v>0.27800000000000002</v>
      </c>
      <c r="Y46" s="68">
        <v>0.27700000000000002</v>
      </c>
      <c r="Z46" s="66">
        <v>0.26500000000000001</v>
      </c>
      <c r="AA46" s="56">
        <f t="shared" si="2"/>
        <v>0.27333333333333337</v>
      </c>
      <c r="AB46" s="59">
        <v>663</v>
      </c>
    </row>
    <row r="47" spans="1:28" ht="15.75" customHeight="1" x14ac:dyDescent="0.35">
      <c r="A47" s="110"/>
      <c r="B47" s="68">
        <v>0.30299999999999999</v>
      </c>
      <c r="C47" s="84">
        <v>0.374</v>
      </c>
      <c r="D47" s="84">
        <v>0.375</v>
      </c>
      <c r="E47" s="56">
        <f t="shared" si="3"/>
        <v>0.35066666666666668</v>
      </c>
      <c r="F47" s="62">
        <v>0.14000000000000001</v>
      </c>
      <c r="G47" s="85">
        <v>0.16500000000000001</v>
      </c>
      <c r="H47" s="85">
        <v>0.16</v>
      </c>
      <c r="I47" s="56">
        <f t="shared" si="4"/>
        <v>0.15500000000000003</v>
      </c>
      <c r="J47" s="67"/>
      <c r="K47" s="67"/>
      <c r="L47" s="67"/>
      <c r="M47" s="98"/>
      <c r="N47" s="59">
        <v>663</v>
      </c>
      <c r="O47" s="110"/>
      <c r="P47" s="66">
        <v>0.25600000000000001</v>
      </c>
      <c r="Q47" s="66">
        <v>0.248</v>
      </c>
      <c r="R47" s="66">
        <v>0.24399999999999999</v>
      </c>
      <c r="S47" s="56">
        <f t="shared" si="0"/>
        <v>0.24933333333333332</v>
      </c>
      <c r="T47" s="98"/>
      <c r="U47" s="98"/>
      <c r="V47" s="98"/>
      <c r="W47" s="98"/>
      <c r="X47" s="68">
        <v>0.27600000000000002</v>
      </c>
      <c r="Y47" s="68">
        <v>0.27500000000000002</v>
      </c>
      <c r="Z47" s="66">
        <v>0.26300000000000001</v>
      </c>
      <c r="AA47" s="56">
        <f t="shared" si="2"/>
        <v>0.27133333333333337</v>
      </c>
      <c r="AB47" s="59">
        <v>664</v>
      </c>
    </row>
    <row r="48" spans="1:28" ht="15.75" customHeight="1" x14ac:dyDescent="0.35">
      <c r="A48" s="110"/>
      <c r="B48" s="68">
        <v>0.30099999999999999</v>
      </c>
      <c r="C48" s="84">
        <v>0.372</v>
      </c>
      <c r="D48" s="84">
        <v>0.373</v>
      </c>
      <c r="E48" s="56">
        <f t="shared" si="3"/>
        <v>0.34866666666666668</v>
      </c>
      <c r="F48" s="62">
        <v>0.13900000000000001</v>
      </c>
      <c r="G48" s="85">
        <v>0.16400000000000001</v>
      </c>
      <c r="H48" s="85">
        <v>0.159</v>
      </c>
      <c r="I48" s="56">
        <f t="shared" si="4"/>
        <v>0.15400000000000003</v>
      </c>
      <c r="J48" s="67"/>
      <c r="K48" s="67"/>
      <c r="L48" s="67"/>
      <c r="M48" s="98"/>
      <c r="N48" s="59">
        <v>664</v>
      </c>
      <c r="O48" s="110"/>
      <c r="P48" s="85">
        <v>8.5000000000000006E-2</v>
      </c>
      <c r="Q48" s="67">
        <v>0.08</v>
      </c>
      <c r="R48" s="91">
        <v>8.5999999999999993E-2</v>
      </c>
      <c r="S48" s="56">
        <f t="shared" si="0"/>
        <v>8.3666666666666667E-2</v>
      </c>
      <c r="T48" s="98"/>
      <c r="U48" s="98"/>
      <c r="V48" s="98"/>
      <c r="W48" s="98"/>
      <c r="X48" s="65">
        <v>9.0999999999999998E-2</v>
      </c>
      <c r="Y48" s="66">
        <v>9.2999999999999999E-2</v>
      </c>
      <c r="Z48" s="62">
        <v>8.3000000000000004E-2</v>
      </c>
      <c r="AA48" s="56">
        <f t="shared" si="2"/>
        <v>8.900000000000001E-2</v>
      </c>
      <c r="AB48" s="59">
        <v>691</v>
      </c>
    </row>
    <row r="49" spans="1:28" ht="15.75" customHeight="1" x14ac:dyDescent="0.35">
      <c r="A49" s="110"/>
      <c r="B49" s="91">
        <v>8.6999999999999994E-2</v>
      </c>
      <c r="C49" s="85">
        <v>8.5000000000000006E-2</v>
      </c>
      <c r="D49" s="70">
        <v>0.09</v>
      </c>
      <c r="E49" s="56">
        <f t="shared" si="3"/>
        <v>8.7333333333333332E-2</v>
      </c>
      <c r="F49" s="92">
        <v>8.2000000000000003E-2</v>
      </c>
      <c r="G49" s="62">
        <v>8.4000000000000005E-2</v>
      </c>
      <c r="H49" s="92">
        <v>8.1000000000000003E-2</v>
      </c>
      <c r="I49" s="56">
        <f t="shared" si="4"/>
        <v>8.2333333333333328E-2</v>
      </c>
      <c r="J49" s="85"/>
      <c r="K49" s="85"/>
      <c r="L49" s="67"/>
      <c r="M49" s="98"/>
      <c r="N49" s="59">
        <v>691</v>
      </c>
      <c r="O49" s="111"/>
      <c r="P49" s="88">
        <v>8.2000000000000003E-2</v>
      </c>
      <c r="Q49" s="100">
        <v>7.6999999999999999E-2</v>
      </c>
      <c r="R49" s="97">
        <v>8.3000000000000004E-2</v>
      </c>
      <c r="S49" s="56">
        <f t="shared" si="0"/>
        <v>8.0666666666666664E-2</v>
      </c>
      <c r="T49" s="99"/>
      <c r="U49" s="99"/>
      <c r="V49" s="99"/>
      <c r="W49" s="99"/>
      <c r="X49" s="87">
        <v>8.5999999999999993E-2</v>
      </c>
      <c r="Y49" s="75">
        <v>8.7999999999999995E-2</v>
      </c>
      <c r="Z49" s="96">
        <v>7.8E-2</v>
      </c>
      <c r="AA49" s="56">
        <f t="shared" si="2"/>
        <v>8.4000000000000005E-2</v>
      </c>
      <c r="AB49" s="59">
        <v>697</v>
      </c>
    </row>
    <row r="50" spans="1:28" ht="15.75" customHeight="1" x14ac:dyDescent="0.35">
      <c r="A50" s="111"/>
      <c r="B50" s="88">
        <v>8.3000000000000004E-2</v>
      </c>
      <c r="C50" s="95">
        <v>0.08</v>
      </c>
      <c r="D50" s="97">
        <v>8.4000000000000005E-2</v>
      </c>
      <c r="E50" s="56">
        <f t="shared" si="3"/>
        <v>8.2333333333333328E-2</v>
      </c>
      <c r="F50" s="96">
        <v>7.9000000000000001E-2</v>
      </c>
      <c r="G50" s="95">
        <v>0.08</v>
      </c>
      <c r="H50" s="96">
        <v>7.8E-2</v>
      </c>
      <c r="I50" s="56">
        <f t="shared" si="4"/>
        <v>7.9000000000000001E-2</v>
      </c>
      <c r="J50" s="97"/>
      <c r="K50" s="87"/>
      <c r="L50" s="96"/>
      <c r="M50" s="99"/>
      <c r="N50" s="59">
        <v>697</v>
      </c>
      <c r="O50" s="109" t="s">
        <v>120</v>
      </c>
      <c r="P50" s="60">
        <v>0.13</v>
      </c>
      <c r="Q50" s="90">
        <v>0.122</v>
      </c>
      <c r="R50" s="90">
        <v>0.121</v>
      </c>
      <c r="S50" s="56">
        <f t="shared" si="0"/>
        <v>0.12433333333333334</v>
      </c>
      <c r="T50" s="56"/>
      <c r="U50" s="56"/>
      <c r="V50" s="56"/>
      <c r="W50" s="56"/>
      <c r="X50" s="80">
        <v>0.16500000000000001</v>
      </c>
      <c r="Y50" s="80">
        <v>0.16600000000000001</v>
      </c>
      <c r="Z50" s="80">
        <v>0.16300000000000001</v>
      </c>
      <c r="AA50" s="56">
        <f t="shared" si="2"/>
        <v>0.16466666666666666</v>
      </c>
      <c r="AB50" s="59">
        <v>630</v>
      </c>
    </row>
    <row r="51" spans="1:28" ht="15.75" customHeight="1" x14ac:dyDescent="0.35">
      <c r="A51" s="109" t="s">
        <v>120</v>
      </c>
      <c r="B51" s="61">
        <v>0.153</v>
      </c>
      <c r="C51" s="82">
        <v>0.154</v>
      </c>
      <c r="D51" s="61">
        <v>0.152</v>
      </c>
      <c r="E51" s="56">
        <f t="shared" si="3"/>
        <v>0.153</v>
      </c>
      <c r="F51" s="90">
        <v>0.129</v>
      </c>
      <c r="G51" s="90">
        <v>0.13</v>
      </c>
      <c r="H51" s="54">
        <v>0.12</v>
      </c>
      <c r="I51" s="56">
        <f t="shared" si="4"/>
        <v>0.12633333333333333</v>
      </c>
      <c r="J51" s="102"/>
      <c r="K51" s="102"/>
      <c r="L51" s="102"/>
      <c r="M51" s="56"/>
      <c r="N51" s="59">
        <v>630</v>
      </c>
      <c r="O51" s="110"/>
      <c r="P51" s="66">
        <v>0.13400000000000001</v>
      </c>
      <c r="Q51" s="70">
        <v>0.123</v>
      </c>
      <c r="R51" s="70">
        <v>0.122</v>
      </c>
      <c r="S51" s="56">
        <f t="shared" si="0"/>
        <v>0.12633333333333333</v>
      </c>
      <c r="T51" s="98"/>
      <c r="U51" s="98"/>
      <c r="V51" s="98"/>
      <c r="W51" s="98"/>
      <c r="X51" s="84">
        <v>0.16600000000000001</v>
      </c>
      <c r="Y51" s="84">
        <v>0.16700000000000001</v>
      </c>
      <c r="Z51" s="84">
        <v>0.16400000000000001</v>
      </c>
      <c r="AA51" s="56">
        <f t="shared" si="2"/>
        <v>0.16566666666666666</v>
      </c>
      <c r="AB51" s="59">
        <v>647</v>
      </c>
    </row>
    <row r="52" spans="1:28" ht="15.75" customHeight="1" x14ac:dyDescent="0.35">
      <c r="A52" s="110"/>
      <c r="B52" s="68">
        <v>0.154</v>
      </c>
      <c r="C52" s="68">
        <v>0.153</v>
      </c>
      <c r="D52" s="68">
        <v>0.152</v>
      </c>
      <c r="E52" s="56">
        <f t="shared" si="3"/>
        <v>0.153</v>
      </c>
      <c r="F52" s="70">
        <v>0.128</v>
      </c>
      <c r="G52" s="70">
        <v>0.129</v>
      </c>
      <c r="H52" s="91">
        <v>0.11899999999999999</v>
      </c>
      <c r="I52" s="56">
        <f t="shared" si="4"/>
        <v>0.12533333333333332</v>
      </c>
      <c r="J52" s="67"/>
      <c r="K52" s="67"/>
      <c r="L52" s="67"/>
      <c r="M52" s="98"/>
      <c r="N52" s="59">
        <v>647</v>
      </c>
      <c r="O52" s="110"/>
      <c r="P52" s="65">
        <v>0.22800000000000001</v>
      </c>
      <c r="Q52" s="70">
        <v>0.20899999999999999</v>
      </c>
      <c r="R52" s="70">
        <v>0.20300000000000001</v>
      </c>
      <c r="S52" s="56">
        <f t="shared" si="0"/>
        <v>0.21333333333333335</v>
      </c>
      <c r="T52" s="98"/>
      <c r="U52" s="98"/>
      <c r="V52" s="98"/>
      <c r="W52" s="98"/>
      <c r="X52" s="84">
        <v>0.34799999999999998</v>
      </c>
      <c r="Y52" s="84">
        <v>0.35099999999999998</v>
      </c>
      <c r="Z52" s="84">
        <v>0.34699999999999998</v>
      </c>
      <c r="AA52" s="56">
        <f t="shared" si="2"/>
        <v>0.34866666666666662</v>
      </c>
      <c r="AB52" s="59">
        <v>663</v>
      </c>
    </row>
    <row r="53" spans="1:28" ht="15.75" customHeight="1" x14ac:dyDescent="0.35">
      <c r="A53" s="110"/>
      <c r="B53" s="69">
        <v>0.316</v>
      </c>
      <c r="C53" s="69">
        <v>0.32600000000000001</v>
      </c>
      <c r="D53" s="69">
        <v>0.32500000000000001</v>
      </c>
      <c r="E53" s="56">
        <f t="shared" si="3"/>
        <v>0.32233333333333336</v>
      </c>
      <c r="F53" s="70">
        <v>0.224</v>
      </c>
      <c r="G53" s="65">
        <v>0.23400000000000001</v>
      </c>
      <c r="H53" s="91">
        <v>0.20100000000000001</v>
      </c>
      <c r="I53" s="56">
        <f t="shared" si="4"/>
        <v>0.21966666666666668</v>
      </c>
      <c r="J53" s="67"/>
      <c r="K53" s="67"/>
      <c r="L53" s="67"/>
      <c r="M53" s="98"/>
      <c r="N53" s="59">
        <v>663</v>
      </c>
      <c r="O53" s="110"/>
      <c r="P53" s="65">
        <v>0.22700000000000001</v>
      </c>
      <c r="Q53" s="70">
        <v>0.20799999999999999</v>
      </c>
      <c r="R53" s="70">
        <v>0.20300000000000001</v>
      </c>
      <c r="S53" s="56">
        <f t="shared" si="0"/>
        <v>0.21266666666666667</v>
      </c>
      <c r="T53" s="98"/>
      <c r="U53" s="98"/>
      <c r="V53" s="98"/>
      <c r="W53" s="98"/>
      <c r="X53" s="84">
        <v>0.34499999999999997</v>
      </c>
      <c r="Y53" s="84">
        <v>0.34899999999999998</v>
      </c>
      <c r="Z53" s="84">
        <v>0.34399999999999997</v>
      </c>
      <c r="AA53" s="56">
        <f t="shared" si="2"/>
        <v>0.34599999999999992</v>
      </c>
      <c r="AB53" s="59">
        <v>664</v>
      </c>
    </row>
    <row r="54" spans="1:28" ht="15.75" customHeight="1" x14ac:dyDescent="0.35">
      <c r="A54" s="110"/>
      <c r="B54" s="69">
        <v>0.313</v>
      </c>
      <c r="C54" s="69">
        <v>0.32300000000000001</v>
      </c>
      <c r="D54" s="69">
        <v>0.32200000000000001</v>
      </c>
      <c r="E54" s="56">
        <f t="shared" si="3"/>
        <v>0.3193333333333333</v>
      </c>
      <c r="F54" s="70">
        <v>0.223</v>
      </c>
      <c r="G54" s="65">
        <v>0.23300000000000001</v>
      </c>
      <c r="H54" s="91">
        <v>0.2</v>
      </c>
      <c r="I54" s="56">
        <f t="shared" si="4"/>
        <v>0.21866666666666668</v>
      </c>
      <c r="J54" s="67"/>
      <c r="K54" s="67"/>
      <c r="L54" s="67"/>
      <c r="M54" s="98"/>
      <c r="N54" s="59">
        <v>664</v>
      </c>
      <c r="O54" s="110"/>
      <c r="P54" s="85">
        <v>8.5000000000000006E-2</v>
      </c>
      <c r="Q54" s="67">
        <v>0.08</v>
      </c>
      <c r="R54" s="67">
        <v>8.1000000000000003E-2</v>
      </c>
      <c r="S54" s="56">
        <f t="shared" si="0"/>
        <v>8.2000000000000003E-2</v>
      </c>
      <c r="T54" s="98"/>
      <c r="U54" s="98"/>
      <c r="V54" s="98"/>
      <c r="W54" s="98"/>
      <c r="X54" s="66">
        <v>9.0999999999999998E-2</v>
      </c>
      <c r="Y54" s="65">
        <v>9.0999999999999998E-2</v>
      </c>
      <c r="Z54" s="65">
        <v>0.09</v>
      </c>
      <c r="AA54" s="56">
        <f t="shared" si="2"/>
        <v>9.0666666666666673E-2</v>
      </c>
      <c r="AB54" s="59">
        <v>691</v>
      </c>
    </row>
    <row r="55" spans="1:28" ht="15.75" customHeight="1" x14ac:dyDescent="0.35">
      <c r="A55" s="110"/>
      <c r="B55" s="85">
        <v>8.6999999999999994E-2</v>
      </c>
      <c r="C55" s="62">
        <v>8.4000000000000005E-2</v>
      </c>
      <c r="D55" s="62">
        <v>8.3000000000000004E-2</v>
      </c>
      <c r="E55" s="56">
        <f t="shared" si="3"/>
        <v>8.4666666666666668E-2</v>
      </c>
      <c r="F55" s="91">
        <v>8.6999999999999994E-2</v>
      </c>
      <c r="G55" s="85">
        <v>8.5999999999999993E-2</v>
      </c>
      <c r="H55" s="62">
        <v>8.3000000000000004E-2</v>
      </c>
      <c r="I55" s="56">
        <f t="shared" si="4"/>
        <v>8.533333333333333E-2</v>
      </c>
      <c r="J55" s="85"/>
      <c r="K55" s="62"/>
      <c r="L55" s="92"/>
      <c r="M55" s="98"/>
      <c r="N55" s="59">
        <v>691</v>
      </c>
      <c r="O55" s="111"/>
      <c r="P55" s="95">
        <v>8.1000000000000003E-2</v>
      </c>
      <c r="Q55" s="100">
        <v>7.6999999999999999E-2</v>
      </c>
      <c r="R55" s="100">
        <v>7.6999999999999999E-2</v>
      </c>
      <c r="S55" s="56">
        <f t="shared" si="0"/>
        <v>7.8333333333333324E-2</v>
      </c>
      <c r="T55" s="99"/>
      <c r="U55" s="99"/>
      <c r="V55" s="99"/>
      <c r="W55" s="99"/>
      <c r="X55" s="87">
        <v>8.5000000000000006E-2</v>
      </c>
      <c r="Y55" s="87">
        <v>8.5000000000000006E-2</v>
      </c>
      <c r="Z55" s="97">
        <v>8.3000000000000004E-2</v>
      </c>
      <c r="AA55" s="56">
        <f t="shared" si="2"/>
        <v>8.433333333333333E-2</v>
      </c>
      <c r="AB55" s="59">
        <v>697</v>
      </c>
    </row>
    <row r="56" spans="1:28" ht="15.75" customHeight="1" x14ac:dyDescent="0.35">
      <c r="A56" s="111"/>
      <c r="B56" s="88">
        <v>8.2000000000000003E-2</v>
      </c>
      <c r="C56" s="95">
        <v>0.08</v>
      </c>
      <c r="D56" s="96">
        <v>7.9000000000000001E-2</v>
      </c>
      <c r="E56" s="56">
        <f t="shared" si="3"/>
        <v>8.0333333333333326E-2</v>
      </c>
      <c r="F56" s="88">
        <v>8.3000000000000004E-2</v>
      </c>
      <c r="G56" s="88">
        <v>8.2000000000000003E-2</v>
      </c>
      <c r="H56" s="95">
        <v>7.9000000000000001E-2</v>
      </c>
      <c r="I56" s="56">
        <f t="shared" si="4"/>
        <v>8.1333333333333327E-2</v>
      </c>
      <c r="J56" s="97"/>
      <c r="K56" s="88"/>
      <c r="L56" s="95"/>
      <c r="M56" s="99"/>
      <c r="N56" s="59">
        <v>697</v>
      </c>
      <c r="O56" s="109" t="s">
        <v>125</v>
      </c>
      <c r="P56" s="61">
        <v>0.13600000000000001</v>
      </c>
      <c r="Q56" s="60">
        <v>0.13</v>
      </c>
      <c r="R56" s="83">
        <v>0.128</v>
      </c>
      <c r="S56" s="56">
        <f t="shared" si="0"/>
        <v>0.13133333333333333</v>
      </c>
      <c r="T56" s="56"/>
      <c r="U56" s="56"/>
      <c r="V56" s="56"/>
      <c r="W56" s="56"/>
      <c r="X56" s="56"/>
      <c r="Y56" s="56"/>
      <c r="Z56" s="103"/>
      <c r="AA56" s="104"/>
      <c r="AB56" s="59">
        <v>630</v>
      </c>
    </row>
    <row r="57" spans="1:28" ht="15.75" customHeight="1" x14ac:dyDescent="0.35">
      <c r="A57" s="109" t="s">
        <v>125</v>
      </c>
      <c r="B57" s="90">
        <v>0.128</v>
      </c>
      <c r="C57" s="54">
        <v>0.12</v>
      </c>
      <c r="D57" s="54">
        <v>0.11600000000000001</v>
      </c>
      <c r="E57" s="56">
        <f t="shared" si="3"/>
        <v>0.12133333333333333</v>
      </c>
      <c r="F57" s="55">
        <v>0.107</v>
      </c>
      <c r="G57" s="90">
        <v>0.123</v>
      </c>
      <c r="H57" s="90">
        <v>0.127</v>
      </c>
      <c r="I57" s="56">
        <f t="shared" si="4"/>
        <v>0.11899999999999999</v>
      </c>
      <c r="J57" s="102"/>
      <c r="K57" s="102"/>
      <c r="L57" s="102"/>
      <c r="M57" s="56"/>
      <c r="N57" s="59">
        <v>630</v>
      </c>
      <c r="O57" s="110"/>
      <c r="P57" s="66">
        <v>0.13500000000000001</v>
      </c>
      <c r="Q57" s="65">
        <v>0.128</v>
      </c>
      <c r="R57" s="65">
        <v>0.128</v>
      </c>
      <c r="S57" s="56">
        <f t="shared" si="0"/>
        <v>0.13033333333333333</v>
      </c>
      <c r="T57" s="98"/>
      <c r="U57" s="98"/>
      <c r="V57" s="98"/>
      <c r="W57" s="98"/>
      <c r="X57" s="98"/>
      <c r="Y57" s="98"/>
      <c r="Z57" s="105"/>
      <c r="AA57" s="104"/>
      <c r="AB57" s="59">
        <v>647</v>
      </c>
    </row>
    <row r="58" spans="1:28" ht="15.75" customHeight="1" x14ac:dyDescent="0.35">
      <c r="A58" s="110"/>
      <c r="B58" s="70">
        <v>0.125</v>
      </c>
      <c r="C58" s="85">
        <v>0.11600000000000001</v>
      </c>
      <c r="D58" s="85">
        <v>0.113</v>
      </c>
      <c r="E58" s="56">
        <f t="shared" si="3"/>
        <v>0.11799999999999999</v>
      </c>
      <c r="F58" s="62">
        <v>0.105</v>
      </c>
      <c r="G58" s="91">
        <v>0.121</v>
      </c>
      <c r="H58" s="70">
        <v>0.125</v>
      </c>
      <c r="I58" s="56">
        <f t="shared" si="4"/>
        <v>0.11699999999999999</v>
      </c>
      <c r="J58" s="67"/>
      <c r="K58" s="67"/>
      <c r="L58" s="67"/>
      <c r="M58" s="98"/>
      <c r="N58" s="59">
        <v>647</v>
      </c>
      <c r="O58" s="110"/>
      <c r="P58" s="66">
        <v>0.25</v>
      </c>
      <c r="Q58" s="66">
        <v>0.245</v>
      </c>
      <c r="R58" s="66">
        <v>0.245</v>
      </c>
      <c r="S58" s="56">
        <f t="shared" si="0"/>
        <v>0.24666666666666667</v>
      </c>
      <c r="T58" s="98"/>
      <c r="U58" s="98"/>
      <c r="V58" s="98"/>
      <c r="W58" s="98"/>
      <c r="X58" s="98"/>
      <c r="Y58" s="98"/>
      <c r="Z58" s="105"/>
      <c r="AA58" s="104"/>
      <c r="AB58" s="59">
        <v>663</v>
      </c>
    </row>
    <row r="59" spans="1:28" ht="15.75" customHeight="1" x14ac:dyDescent="0.35">
      <c r="A59" s="110"/>
      <c r="B59" s="91">
        <v>0.19900000000000001</v>
      </c>
      <c r="C59" s="91">
        <v>0.191</v>
      </c>
      <c r="D59" s="91">
        <v>0.187</v>
      </c>
      <c r="E59" s="56">
        <f t="shared" si="3"/>
        <v>0.19233333333333333</v>
      </c>
      <c r="F59" s="85">
        <v>0.159</v>
      </c>
      <c r="G59" s="85">
        <v>0.17899999999999999</v>
      </c>
      <c r="H59" s="85">
        <v>0.182</v>
      </c>
      <c r="I59" s="56">
        <f t="shared" si="4"/>
        <v>0.17333333333333334</v>
      </c>
      <c r="J59" s="67"/>
      <c r="K59" s="67"/>
      <c r="L59" s="67"/>
      <c r="M59" s="98"/>
      <c r="N59" s="59">
        <v>663</v>
      </c>
      <c r="O59" s="110"/>
      <c r="P59" s="66">
        <v>0.248</v>
      </c>
      <c r="Q59" s="66">
        <v>0.24399999999999999</v>
      </c>
      <c r="R59" s="66">
        <v>0.24399999999999999</v>
      </c>
      <c r="S59" s="56">
        <f t="shared" si="0"/>
        <v>0.24533333333333332</v>
      </c>
      <c r="T59" s="98"/>
      <c r="U59" s="98"/>
      <c r="V59" s="98"/>
      <c r="W59" s="98"/>
      <c r="X59" s="98"/>
      <c r="Y59" s="98"/>
      <c r="Z59" s="105"/>
      <c r="AA59" s="104"/>
      <c r="AB59" s="59">
        <v>664</v>
      </c>
    </row>
    <row r="60" spans="1:28" ht="15.75" customHeight="1" x14ac:dyDescent="0.35">
      <c r="A60" s="110"/>
      <c r="B60" s="91">
        <v>0.19900000000000001</v>
      </c>
      <c r="C60" s="91">
        <v>0.19</v>
      </c>
      <c r="D60" s="91">
        <v>0.186</v>
      </c>
      <c r="E60" s="56">
        <f t="shared" si="3"/>
        <v>0.19166666666666665</v>
      </c>
      <c r="F60" s="85">
        <v>0.158</v>
      </c>
      <c r="G60" s="85">
        <v>0.17699999999999999</v>
      </c>
      <c r="H60" s="85">
        <v>0.18099999999999999</v>
      </c>
      <c r="I60" s="56">
        <f t="shared" si="4"/>
        <v>0.17200000000000001</v>
      </c>
      <c r="J60" s="67"/>
      <c r="K60" s="67"/>
      <c r="L60" s="67"/>
      <c r="M60" s="98"/>
      <c r="N60" s="59">
        <v>664</v>
      </c>
      <c r="O60" s="110"/>
      <c r="P60" s="70">
        <v>8.7999999999999995E-2</v>
      </c>
      <c r="Q60" s="62">
        <v>8.4000000000000005E-2</v>
      </c>
      <c r="R60" s="67">
        <v>8.1000000000000003E-2</v>
      </c>
      <c r="S60" s="56">
        <f t="shared" si="0"/>
        <v>8.433333333333333E-2</v>
      </c>
      <c r="T60" s="98"/>
      <c r="U60" s="98"/>
      <c r="V60" s="98"/>
      <c r="W60" s="98"/>
      <c r="X60" s="98"/>
      <c r="Y60" s="98"/>
      <c r="Z60" s="105"/>
      <c r="AA60" s="104"/>
      <c r="AB60" s="59">
        <v>691</v>
      </c>
    </row>
    <row r="61" spans="1:28" ht="15.75" customHeight="1" x14ac:dyDescent="0.35">
      <c r="A61" s="110"/>
      <c r="B61" s="91">
        <v>8.7999999999999995E-2</v>
      </c>
      <c r="C61" s="62">
        <v>8.3000000000000004E-2</v>
      </c>
      <c r="D61" s="67">
        <v>7.8E-2</v>
      </c>
      <c r="E61" s="56">
        <f t="shared" si="3"/>
        <v>8.3000000000000004E-2</v>
      </c>
      <c r="F61" s="67">
        <v>7.8E-2</v>
      </c>
      <c r="G61" s="70">
        <v>8.8999999999999996E-2</v>
      </c>
      <c r="H61" s="65">
        <v>9.2999999999999999E-2</v>
      </c>
      <c r="I61" s="56">
        <f t="shared" si="4"/>
        <v>8.666666666666667E-2</v>
      </c>
      <c r="J61" s="85"/>
      <c r="K61" s="92"/>
      <c r="L61" s="62"/>
      <c r="M61" s="98"/>
      <c r="N61" s="59">
        <v>691</v>
      </c>
      <c r="O61" s="111"/>
      <c r="P61" s="97">
        <v>8.4000000000000005E-2</v>
      </c>
      <c r="Q61" s="95">
        <v>8.1000000000000003E-2</v>
      </c>
      <c r="R61" s="100">
        <v>7.5999999999999998E-2</v>
      </c>
      <c r="S61" s="56">
        <f t="shared" si="0"/>
        <v>8.0333333333333326E-2</v>
      </c>
      <c r="T61" s="99"/>
      <c r="U61" s="99"/>
      <c r="V61" s="99"/>
      <c r="W61" s="99"/>
      <c r="X61" s="99"/>
      <c r="Y61" s="99"/>
      <c r="Z61" s="106"/>
      <c r="AA61" s="104"/>
      <c r="AB61" s="59">
        <v>697</v>
      </c>
    </row>
    <row r="62" spans="1:28" ht="15.75" customHeight="1" x14ac:dyDescent="0.35">
      <c r="A62" s="111"/>
      <c r="B62" s="97">
        <v>8.5000000000000006E-2</v>
      </c>
      <c r="C62" s="95">
        <v>0.08</v>
      </c>
      <c r="D62" s="100">
        <v>7.4999999999999997E-2</v>
      </c>
      <c r="E62" s="56">
        <f t="shared" si="3"/>
        <v>0.08</v>
      </c>
      <c r="F62" s="100">
        <v>7.5999999999999998E-2</v>
      </c>
      <c r="G62" s="87">
        <v>8.5999999999999993E-2</v>
      </c>
      <c r="H62" s="75">
        <v>0.09</v>
      </c>
      <c r="I62" s="56">
        <f t="shared" si="4"/>
        <v>8.4000000000000005E-2</v>
      </c>
      <c r="J62" s="97"/>
      <c r="K62" s="95"/>
      <c r="L62" s="88"/>
      <c r="M62" s="99"/>
      <c r="N62" s="59">
        <v>697</v>
      </c>
      <c r="S62" s="56" t="e">
        <f t="shared" si="0"/>
        <v>#DIV/0!</v>
      </c>
      <c r="AA62" s="98"/>
    </row>
    <row r="63" spans="1:28" ht="15.75" customHeight="1" x14ac:dyDescent="0.35"/>
    <row r="64" spans="1:28" ht="15.75" customHeight="1" x14ac:dyDescent="0.35">
      <c r="K64" s="18" t="s">
        <v>46</v>
      </c>
    </row>
    <row r="65" spans="2:13" ht="15.75" customHeight="1" x14ac:dyDescent="0.35"/>
    <row r="66" spans="2:13" ht="15.75" customHeight="1" x14ac:dyDescent="0.35">
      <c r="B66" s="2" t="s">
        <v>157</v>
      </c>
      <c r="C66" s="107">
        <v>630</v>
      </c>
      <c r="D66" s="107">
        <v>647</v>
      </c>
      <c r="E66" s="107">
        <v>663</v>
      </c>
      <c r="F66" s="107">
        <v>664</v>
      </c>
      <c r="G66" s="107">
        <v>691</v>
      </c>
      <c r="H66" s="107">
        <v>697</v>
      </c>
      <c r="I66" s="2" t="s">
        <v>158</v>
      </c>
      <c r="J66" s="4" t="s">
        <v>8</v>
      </c>
    </row>
    <row r="67" spans="2:13" ht="15.75" customHeight="1" x14ac:dyDescent="0.35">
      <c r="B67" s="108" t="s">
        <v>159</v>
      </c>
      <c r="C67" s="108">
        <v>0.11033333333333301</v>
      </c>
      <c r="D67" s="108">
        <v>0.10566666666666667</v>
      </c>
      <c r="E67" s="108">
        <v>0.10200000000000002</v>
      </c>
      <c r="F67" s="108">
        <v>0.10200000000000002</v>
      </c>
      <c r="G67" s="108">
        <v>9.633333333333334E-2</v>
      </c>
      <c r="H67" s="108">
        <v>9.5333333333333339E-2</v>
      </c>
      <c r="I67" s="108">
        <f t="shared" ref="I67:I105" si="6">(-0.3319*C67)-(1.7485*D67)+(11.9442*F67)-(1.4306*G67)</f>
        <v>0.8591161333333337</v>
      </c>
    </row>
    <row r="68" spans="2:13" ht="15.75" customHeight="1" x14ac:dyDescent="0.35">
      <c r="B68" s="2" t="s">
        <v>89</v>
      </c>
      <c r="C68" s="2">
        <v>0.15866666666666665</v>
      </c>
      <c r="D68" s="2">
        <v>0.154</v>
      </c>
      <c r="E68" s="2">
        <v>0.28799999999999998</v>
      </c>
      <c r="F68" s="2">
        <v>0.28599999999999998</v>
      </c>
      <c r="G68" s="2">
        <v>9.6000000000000016E-2</v>
      </c>
      <c r="H68" s="2">
        <v>9.1666666666666674E-2</v>
      </c>
      <c r="I68" s="2">
        <f t="shared" si="6"/>
        <v>2.9567731333333334</v>
      </c>
      <c r="J68" s="2">
        <f t="shared" ref="J68:J87" si="7">I68-0.859116133</f>
        <v>2.0976570003333332</v>
      </c>
      <c r="L68" s="2">
        <v>0.8591161333333337</v>
      </c>
      <c r="M68" s="108"/>
    </row>
    <row r="69" spans="2:13" ht="15.75" customHeight="1" x14ac:dyDescent="0.35">
      <c r="B69" s="2" t="s">
        <v>95</v>
      </c>
      <c r="C69" s="2">
        <v>0.14799999999999999</v>
      </c>
      <c r="D69" s="2">
        <v>0.14533333333333334</v>
      </c>
      <c r="E69" s="2">
        <v>0.249</v>
      </c>
      <c r="F69" s="2">
        <v>0.248</v>
      </c>
      <c r="G69" s="2">
        <v>9.6000000000000016E-2</v>
      </c>
      <c r="H69" s="2">
        <v>9.1666666666666674E-2</v>
      </c>
      <c r="I69" s="2">
        <f t="shared" si="6"/>
        <v>2.5215874666666669</v>
      </c>
      <c r="J69" s="2">
        <f t="shared" si="7"/>
        <v>1.6624713336666668</v>
      </c>
    </row>
    <row r="70" spans="2:13" ht="15.75" customHeight="1" x14ac:dyDescent="0.35">
      <c r="B70" s="2" t="s">
        <v>103</v>
      </c>
      <c r="C70" s="2">
        <v>0.13666666666666669</v>
      </c>
      <c r="D70" s="2">
        <v>0.13333333333333333</v>
      </c>
      <c r="E70" s="2">
        <v>0.23399999999999999</v>
      </c>
      <c r="F70" s="2">
        <v>0.23199999999999998</v>
      </c>
      <c r="G70" s="2">
        <v>8.8333333333333333E-2</v>
      </c>
      <c r="H70" s="2">
        <v>8.5000000000000006E-2</v>
      </c>
      <c r="I70" s="2">
        <f t="shared" si="6"/>
        <v>2.3661917333333329</v>
      </c>
      <c r="J70" s="2">
        <f t="shared" si="7"/>
        <v>1.5070756003333328</v>
      </c>
    </row>
    <row r="71" spans="2:13" ht="15.75" customHeight="1" x14ac:dyDescent="0.35">
      <c r="B71" s="2" t="s">
        <v>110</v>
      </c>
      <c r="C71" s="2">
        <v>0.15033333333333332</v>
      </c>
      <c r="D71" s="2">
        <v>0.14066666666666669</v>
      </c>
      <c r="E71" s="2">
        <v>0.25833333333333336</v>
      </c>
      <c r="F71" s="2">
        <v>0.25700000000000001</v>
      </c>
      <c r="G71" s="2">
        <v>8.9333333333333334E-2</v>
      </c>
      <c r="H71" s="2">
        <v>8.5666666666666669E-2</v>
      </c>
      <c r="I71" s="2">
        <f t="shared" si="6"/>
        <v>2.6460078333333334</v>
      </c>
      <c r="J71" s="2">
        <f t="shared" si="7"/>
        <v>1.7868917003333333</v>
      </c>
    </row>
    <row r="72" spans="2:13" ht="15.75" customHeight="1" x14ac:dyDescent="0.35">
      <c r="B72" s="2" t="s">
        <v>116</v>
      </c>
      <c r="C72" s="2">
        <v>0.16866666666666666</v>
      </c>
      <c r="D72" s="2">
        <v>0.16166666666666665</v>
      </c>
      <c r="E72" s="2">
        <v>0.35066666666666668</v>
      </c>
      <c r="F72" s="2">
        <v>0.34866666666666668</v>
      </c>
      <c r="G72" s="2">
        <v>8.7333333333333332E-2</v>
      </c>
      <c r="H72" s="2">
        <v>8.2333333333333328E-2</v>
      </c>
      <c r="I72" s="2">
        <f t="shared" si="6"/>
        <v>3.7009507000000004</v>
      </c>
      <c r="J72" s="2">
        <f t="shared" si="7"/>
        <v>2.8418345670000003</v>
      </c>
    </row>
    <row r="73" spans="2:13" ht="15.75" customHeight="1" x14ac:dyDescent="0.35">
      <c r="B73" s="2" t="s">
        <v>121</v>
      </c>
      <c r="C73" s="2">
        <v>0.153</v>
      </c>
      <c r="D73" s="2">
        <v>0.153</v>
      </c>
      <c r="E73" s="2">
        <v>0.32233333333333336</v>
      </c>
      <c r="F73" s="2">
        <v>0.3193333333333333</v>
      </c>
      <c r="G73" s="2">
        <v>8.4666666666666668E-2</v>
      </c>
      <c r="H73" s="2">
        <v>8.0333333333333326E-2</v>
      </c>
      <c r="I73" s="2">
        <f t="shared" si="6"/>
        <v>3.3747558666666664</v>
      </c>
      <c r="J73" s="2">
        <f t="shared" si="7"/>
        <v>2.5156397336666663</v>
      </c>
    </row>
    <row r="74" spans="2:13" ht="15.75" customHeight="1" x14ac:dyDescent="0.35">
      <c r="B74" s="2" t="s">
        <v>126</v>
      </c>
      <c r="C74" s="2">
        <v>0.12133333333333333</v>
      </c>
      <c r="D74" s="2">
        <v>0.11799999999999999</v>
      </c>
      <c r="E74" s="2">
        <v>0.19233333333333333</v>
      </c>
      <c r="F74" s="2">
        <v>0.19166666666666665</v>
      </c>
      <c r="G74" s="2">
        <v>8.3000000000000004E-2</v>
      </c>
      <c r="H74" s="2">
        <v>0.08</v>
      </c>
      <c r="I74" s="2">
        <f t="shared" si="6"/>
        <v>1.9239716666666664</v>
      </c>
      <c r="J74" s="2">
        <f t="shared" si="7"/>
        <v>1.0648555336666665</v>
      </c>
    </row>
    <row r="75" spans="2:13" ht="15.75" customHeight="1" x14ac:dyDescent="0.35">
      <c r="B75" s="2" t="s">
        <v>84</v>
      </c>
      <c r="C75" s="2">
        <v>0.19166666666666665</v>
      </c>
      <c r="D75" s="2">
        <v>0.18233333333333332</v>
      </c>
      <c r="E75" s="2">
        <v>0.39433333333333337</v>
      </c>
      <c r="F75" s="2">
        <v>0.39300000000000002</v>
      </c>
      <c r="G75" s="2">
        <v>9.9666666666666681E-2</v>
      </c>
      <c r="H75" s="2">
        <v>9.3333333333333338E-2</v>
      </c>
      <c r="I75" s="2">
        <f t="shared" si="6"/>
        <v>4.1690634666666675</v>
      </c>
      <c r="J75" s="2">
        <f t="shared" si="7"/>
        <v>3.3099473336666674</v>
      </c>
    </row>
    <row r="76" spans="2:13" ht="15.75" customHeight="1" x14ac:dyDescent="0.35">
      <c r="B76" s="2" t="s">
        <v>90</v>
      </c>
      <c r="C76" s="2">
        <v>0.13566666666666669</v>
      </c>
      <c r="D76" s="2">
        <v>0.13800000000000001</v>
      </c>
      <c r="E76" s="2">
        <v>0.25566666666666665</v>
      </c>
      <c r="F76" s="2">
        <v>0.25366666666666665</v>
      </c>
      <c r="G76" s="2">
        <v>8.7333333333333332E-2</v>
      </c>
      <c r="H76" s="2">
        <v>8.3333333333333329E-2</v>
      </c>
      <c r="I76" s="2">
        <f t="shared" si="6"/>
        <v>2.6185855666666669</v>
      </c>
      <c r="J76" s="2">
        <f t="shared" si="7"/>
        <v>1.7594694336666667</v>
      </c>
    </row>
    <row r="77" spans="2:13" ht="15.75" customHeight="1" x14ac:dyDescent="0.35">
      <c r="B77" s="2" t="s">
        <v>97</v>
      </c>
      <c r="C77" s="2">
        <v>0.12533333333333332</v>
      </c>
      <c r="D77" s="2">
        <v>0.12166666666666666</v>
      </c>
      <c r="E77" s="2">
        <v>0.217</v>
      </c>
      <c r="F77" s="2">
        <v>0.21666666666666667</v>
      </c>
      <c r="G77" s="2">
        <v>8.2666666666666666E-2</v>
      </c>
      <c r="H77" s="2">
        <v>7.8666666666666663E-2</v>
      </c>
      <c r="I77" s="2">
        <f t="shared" si="6"/>
        <v>2.2153147666666668</v>
      </c>
      <c r="J77" s="2">
        <f t="shared" si="7"/>
        <v>1.3561986336666667</v>
      </c>
    </row>
    <row r="78" spans="2:13" ht="15.75" customHeight="1" x14ac:dyDescent="0.35">
      <c r="B78" s="2" t="s">
        <v>104</v>
      </c>
      <c r="C78" s="2">
        <v>0.11833333333333333</v>
      </c>
      <c r="D78" s="2">
        <v>0.11733333333333333</v>
      </c>
      <c r="E78" s="2">
        <v>0.20633333333333334</v>
      </c>
      <c r="F78" s="2">
        <v>0.20533333333333334</v>
      </c>
      <c r="G78" s="2">
        <v>8.2000000000000003E-2</v>
      </c>
      <c r="H78" s="2">
        <v>7.8E-2</v>
      </c>
      <c r="I78" s="2">
        <f t="shared" si="6"/>
        <v>2.0908010333333333</v>
      </c>
      <c r="J78" s="2">
        <f t="shared" si="7"/>
        <v>1.2316849003333332</v>
      </c>
    </row>
    <row r="79" spans="2:13" ht="15.75" customHeight="1" x14ac:dyDescent="0.35">
      <c r="B79" s="2" t="s">
        <v>111</v>
      </c>
      <c r="C79" s="2">
        <v>0.11299999999999999</v>
      </c>
      <c r="D79" s="2">
        <v>0.11066666666666665</v>
      </c>
      <c r="E79" s="2">
        <v>0.17366666666666664</v>
      </c>
      <c r="F79" s="2">
        <v>0.17166666666666663</v>
      </c>
      <c r="G79" s="2">
        <v>8.1666666666666665E-2</v>
      </c>
      <c r="H79" s="2">
        <v>7.9333333333333325E-2</v>
      </c>
      <c r="I79" s="2">
        <f t="shared" si="6"/>
        <v>1.7025832999999995</v>
      </c>
      <c r="J79" s="2">
        <f t="shared" si="7"/>
        <v>0.84346716699999946</v>
      </c>
    </row>
    <row r="80" spans="2:13" ht="15.75" customHeight="1" x14ac:dyDescent="0.35">
      <c r="B80" s="2" t="s">
        <v>117</v>
      </c>
      <c r="C80" s="2">
        <v>0.106</v>
      </c>
      <c r="D80" s="2">
        <v>0.10466666666666667</v>
      </c>
      <c r="E80" s="2">
        <v>0.15500000000000003</v>
      </c>
      <c r="F80" s="2">
        <v>0.15400000000000003</v>
      </c>
      <c r="G80" s="2">
        <v>8.2333333333333328E-2</v>
      </c>
      <c r="H80" s="2">
        <v>7.9000000000000001E-2</v>
      </c>
      <c r="I80" s="2">
        <f t="shared" si="6"/>
        <v>1.5034296666666671</v>
      </c>
      <c r="J80" s="2">
        <f t="shared" si="7"/>
        <v>0.6443135336666671</v>
      </c>
    </row>
    <row r="81" spans="2:12" ht="15.75" customHeight="1" x14ac:dyDescent="0.35">
      <c r="B81" s="2" t="s">
        <v>122</v>
      </c>
      <c r="C81" s="2">
        <v>0.12633333333333333</v>
      </c>
      <c r="D81" s="2">
        <v>0.12533333333333332</v>
      </c>
      <c r="E81" s="2">
        <v>0.21966666666666668</v>
      </c>
      <c r="F81" s="2">
        <v>0.21866666666666668</v>
      </c>
      <c r="G81" s="2">
        <v>8.533333333333333E-2</v>
      </c>
      <c r="H81" s="2">
        <v>8.1333333333333327E-2</v>
      </c>
      <c r="I81" s="2">
        <f t="shared" si="6"/>
        <v>2.2286451666666665</v>
      </c>
      <c r="J81" s="2">
        <f t="shared" si="7"/>
        <v>1.3695290336666663</v>
      </c>
    </row>
    <row r="82" spans="2:12" ht="15.75" customHeight="1" x14ac:dyDescent="0.35">
      <c r="B82" s="2" t="s">
        <v>127</v>
      </c>
      <c r="C82" s="2">
        <v>0.11899999999999999</v>
      </c>
      <c r="D82" s="2">
        <v>0.11699999999999999</v>
      </c>
      <c r="E82" s="2">
        <v>0.17333333333333334</v>
      </c>
      <c r="F82" s="2">
        <v>0.17200000000000001</v>
      </c>
      <c r="G82" s="2">
        <v>8.666666666666667E-2</v>
      </c>
      <c r="H82" s="2">
        <v>8.4000000000000005E-2</v>
      </c>
      <c r="I82" s="2">
        <f t="shared" si="6"/>
        <v>1.686346466666667</v>
      </c>
      <c r="J82" s="2">
        <f t="shared" si="7"/>
        <v>0.82723033366666698</v>
      </c>
    </row>
    <row r="83" spans="2:12" ht="15.75" customHeight="1" x14ac:dyDescent="0.35">
      <c r="B83" s="2" t="s">
        <v>85</v>
      </c>
      <c r="C83" s="2">
        <v>0.14399999999999999</v>
      </c>
      <c r="D83" s="2">
        <v>0.13833333333333334</v>
      </c>
      <c r="E83" s="2">
        <v>0.21666666666666667</v>
      </c>
      <c r="F83" s="2">
        <v>0.21566666666666667</v>
      </c>
      <c r="G83" s="2">
        <v>9.7666666666666679E-2</v>
      </c>
      <c r="H83" s="2">
        <v>9.4000000000000014E-2</v>
      </c>
      <c r="I83" s="2">
        <f t="shared" si="6"/>
        <v>2.1465744333333334</v>
      </c>
      <c r="J83" s="2">
        <f t="shared" si="7"/>
        <v>1.2874583003333333</v>
      </c>
    </row>
    <row r="84" spans="2:12" ht="15.75" customHeight="1" x14ac:dyDescent="0.35">
      <c r="B84" s="2" t="s">
        <v>91</v>
      </c>
      <c r="C84" s="2">
        <v>0.14566666666666664</v>
      </c>
      <c r="D84" s="2">
        <v>0.15</v>
      </c>
      <c r="E84" s="2">
        <v>0.251</v>
      </c>
      <c r="F84" s="2">
        <v>0.249</v>
      </c>
      <c r="G84" s="2">
        <v>9.8333333333333342E-2</v>
      </c>
      <c r="H84" s="2">
        <v>9.3333333333333338E-2</v>
      </c>
      <c r="I84" s="2">
        <f t="shared" si="6"/>
        <v>2.5228083666666672</v>
      </c>
      <c r="J84" s="2">
        <f t="shared" si="7"/>
        <v>1.6636922336666671</v>
      </c>
    </row>
    <row r="85" spans="2:12" ht="15.75" customHeight="1" x14ac:dyDescent="0.35">
      <c r="B85" s="2" t="s">
        <v>98</v>
      </c>
      <c r="C85" s="2">
        <v>0.12033333333333333</v>
      </c>
      <c r="D85" s="2">
        <v>0.11799999999999999</v>
      </c>
      <c r="E85" s="2">
        <v>0.16200000000000001</v>
      </c>
      <c r="F85" s="2">
        <v>0.16133333333333333</v>
      </c>
      <c r="G85" s="2">
        <v>9.1333333333333336E-2</v>
      </c>
      <c r="H85" s="2">
        <v>8.8333333333333333E-2</v>
      </c>
      <c r="I85" s="2">
        <f t="shared" si="6"/>
        <v>1.5500745</v>
      </c>
      <c r="J85" s="2">
        <f t="shared" si="7"/>
        <v>0.69095836700000002</v>
      </c>
    </row>
    <row r="86" spans="2:12" ht="15.75" customHeight="1" x14ac:dyDescent="0.35">
      <c r="B86" s="2" t="s">
        <v>105</v>
      </c>
      <c r="C86" s="2">
        <v>0.17</v>
      </c>
      <c r="D86" s="2">
        <v>0.17133333333333334</v>
      </c>
      <c r="E86" s="2">
        <v>0.35066666666666668</v>
      </c>
      <c r="F86" s="2">
        <v>0.34866666666666662</v>
      </c>
      <c r="G86" s="2">
        <v>0.10366666666666668</v>
      </c>
      <c r="H86" s="2">
        <v>9.633333333333334E-2</v>
      </c>
      <c r="I86" s="2">
        <f t="shared" si="6"/>
        <v>3.6602395333333333</v>
      </c>
      <c r="J86" s="2">
        <f t="shared" si="7"/>
        <v>2.8011234003333332</v>
      </c>
    </row>
    <row r="87" spans="2:12" ht="15.75" customHeight="1" x14ac:dyDescent="0.35">
      <c r="B87" s="2" t="s">
        <v>112</v>
      </c>
      <c r="C87" s="2">
        <v>0.13133333333333333</v>
      </c>
      <c r="D87" s="2">
        <v>0.12666666666666668</v>
      </c>
      <c r="E87" s="2">
        <v>0.21166666666666667</v>
      </c>
      <c r="F87" s="2">
        <v>0.21066666666666667</v>
      </c>
      <c r="G87" s="2">
        <v>8.7666666666666671E-2</v>
      </c>
      <c r="H87" s="2">
        <v>8.3666666666666667E-2</v>
      </c>
      <c r="I87" s="2">
        <f t="shared" si="6"/>
        <v>2.1257626666666667</v>
      </c>
      <c r="J87" s="2">
        <f t="shared" si="7"/>
        <v>1.2666465336666666</v>
      </c>
    </row>
    <row r="88" spans="2:12" ht="15.75" customHeight="1" x14ac:dyDescent="0.35">
      <c r="B88" s="108" t="s">
        <v>159</v>
      </c>
      <c r="C88" s="108">
        <v>0.107</v>
      </c>
      <c r="D88" s="108">
        <v>0.10233333333333333</v>
      </c>
      <c r="E88" s="108">
        <v>9.8000000000000018E-2</v>
      </c>
      <c r="F88" s="108">
        <v>9.8000000000000018E-2</v>
      </c>
      <c r="G88" s="108">
        <v>9.2000000000000012E-2</v>
      </c>
      <c r="H88" s="108">
        <v>9.1000000000000011E-2</v>
      </c>
      <c r="I88" s="108">
        <f t="shared" si="6"/>
        <v>0.82447326666666698</v>
      </c>
      <c r="L88" s="2">
        <v>0.82447326666666698</v>
      </c>
    </row>
    <row r="89" spans="2:12" ht="15.75" customHeight="1" x14ac:dyDescent="0.35">
      <c r="B89" s="2" t="s">
        <v>92</v>
      </c>
      <c r="C89" s="2">
        <v>0.15733333333333333</v>
      </c>
      <c r="D89" s="2">
        <v>0.16</v>
      </c>
      <c r="E89" s="2">
        <v>0.31233333333333335</v>
      </c>
      <c r="F89" s="2">
        <v>0.30866666666666664</v>
      </c>
      <c r="G89" s="2">
        <v>9.633333333333334E-2</v>
      </c>
      <c r="H89" s="2">
        <v>9.2000000000000012E-2</v>
      </c>
      <c r="I89" s="2">
        <f t="shared" si="6"/>
        <v>3.2169829999999999</v>
      </c>
      <c r="J89" s="2">
        <f t="shared" ref="J89:J105" si="8">I89-0.824473267</f>
        <v>2.3925097329999998</v>
      </c>
    </row>
    <row r="90" spans="2:12" ht="15.75" customHeight="1" x14ac:dyDescent="0.35">
      <c r="B90" s="2" t="s">
        <v>99</v>
      </c>
      <c r="C90" s="2">
        <v>0.13566666666666669</v>
      </c>
      <c r="D90" s="2">
        <v>0.13733333333333334</v>
      </c>
      <c r="E90" s="2">
        <v>0.24266666666666667</v>
      </c>
      <c r="F90" s="2">
        <v>0.24099999999999999</v>
      </c>
      <c r="G90" s="2">
        <v>9.1000000000000011E-2</v>
      </c>
      <c r="H90" s="2">
        <v>8.7666666666666671E-2</v>
      </c>
      <c r="I90" s="2">
        <f t="shared" si="6"/>
        <v>2.4632125</v>
      </c>
      <c r="J90" s="2">
        <f t="shared" si="8"/>
        <v>1.6387392329999999</v>
      </c>
    </row>
    <row r="91" spans="2:12" ht="15.75" customHeight="1" x14ac:dyDescent="0.35">
      <c r="B91" s="2" t="s">
        <v>106</v>
      </c>
      <c r="C91" s="2">
        <v>0.14599999999999999</v>
      </c>
      <c r="D91" s="2">
        <v>0.14133333333333334</v>
      </c>
      <c r="E91" s="2">
        <v>0.26266666666666666</v>
      </c>
      <c r="F91" s="2">
        <v>0.26100000000000001</v>
      </c>
      <c r="G91" s="2">
        <v>8.9666666666666672E-2</v>
      </c>
      <c r="H91" s="2">
        <v>8.5666666666666669E-2</v>
      </c>
      <c r="I91" s="2">
        <f t="shared" si="6"/>
        <v>2.6935803333333332</v>
      </c>
      <c r="J91" s="2">
        <f t="shared" si="8"/>
        <v>1.8691070663333331</v>
      </c>
    </row>
    <row r="92" spans="2:12" ht="15.75" customHeight="1" x14ac:dyDescent="0.35">
      <c r="B92" s="2" t="s">
        <v>113</v>
      </c>
      <c r="C92" s="2">
        <v>0.1486666666666667</v>
      </c>
      <c r="D92" s="2">
        <v>0.14833333333333334</v>
      </c>
      <c r="E92" s="2">
        <v>0.28899999999999998</v>
      </c>
      <c r="F92" s="2">
        <v>0.28533333333333338</v>
      </c>
      <c r="G92" s="2">
        <v>8.7333333333333332E-2</v>
      </c>
      <c r="H92" s="2">
        <v>8.3333333333333329E-2</v>
      </c>
      <c r="I92" s="2">
        <f t="shared" si="6"/>
        <v>2.9744360333333342</v>
      </c>
      <c r="J92" s="2">
        <f t="shared" si="8"/>
        <v>2.1499627663333341</v>
      </c>
    </row>
    <row r="93" spans="2:12" ht="15.75" customHeight="1" x14ac:dyDescent="0.35">
      <c r="B93" s="2" t="s">
        <v>118</v>
      </c>
      <c r="C93" s="2">
        <v>0.13400000000000001</v>
      </c>
      <c r="D93" s="2">
        <v>0.13400000000000001</v>
      </c>
      <c r="E93" s="2">
        <v>0.25233333333333335</v>
      </c>
      <c r="F93" s="2">
        <v>0.24933333333333332</v>
      </c>
      <c r="G93" s="2">
        <v>8.3666666666666667E-2</v>
      </c>
      <c r="H93" s="2">
        <v>8.0666666666666664E-2</v>
      </c>
      <c r="I93" s="2">
        <f t="shared" si="6"/>
        <v>2.5796200666666667</v>
      </c>
      <c r="J93" s="2">
        <f t="shared" si="8"/>
        <v>1.7551467996666665</v>
      </c>
    </row>
    <row r="94" spans="2:12" ht="15.75" customHeight="1" x14ac:dyDescent="0.35">
      <c r="B94" s="2" t="s">
        <v>123</v>
      </c>
      <c r="C94" s="2">
        <v>0.12433333333333334</v>
      </c>
      <c r="D94" s="2">
        <v>0.12633333333333333</v>
      </c>
      <c r="E94" s="2">
        <v>0.21333333333333335</v>
      </c>
      <c r="F94" s="2">
        <v>0.21266666666666667</v>
      </c>
      <c r="G94" s="2">
        <v>8.2000000000000003E-2</v>
      </c>
      <c r="H94" s="2">
        <v>7.8333333333333324E-2</v>
      </c>
      <c r="I94" s="2">
        <f t="shared" si="6"/>
        <v>2.1606639333333333</v>
      </c>
      <c r="J94" s="2">
        <f t="shared" si="8"/>
        <v>1.3361906663333332</v>
      </c>
    </row>
    <row r="95" spans="2:12" ht="15.75" customHeight="1" x14ac:dyDescent="0.35">
      <c r="B95" s="2" t="s">
        <v>128</v>
      </c>
      <c r="C95" s="2">
        <v>0.13133333333333333</v>
      </c>
      <c r="D95" s="2">
        <v>0.13033333333333333</v>
      </c>
      <c r="E95" s="2">
        <v>0.24666666666666667</v>
      </c>
      <c r="F95" s="2">
        <v>0.24533333333333332</v>
      </c>
      <c r="G95" s="2">
        <v>8.433333333333333E-2</v>
      </c>
      <c r="H95" s="2">
        <v>8.0333333333333326E-2</v>
      </c>
      <c r="I95" s="2">
        <f t="shared" si="6"/>
        <v>2.5381857666666665</v>
      </c>
      <c r="J95" s="2">
        <f t="shared" si="8"/>
        <v>1.7137124996666664</v>
      </c>
    </row>
    <row r="96" spans="2:12" ht="15.75" customHeight="1" x14ac:dyDescent="0.35">
      <c r="B96" s="2" t="s">
        <v>86</v>
      </c>
      <c r="C96" s="2">
        <v>0.18099999999999997</v>
      </c>
      <c r="D96" s="2">
        <v>0.18099999999999997</v>
      </c>
      <c r="E96" s="2">
        <v>0.40033333333333337</v>
      </c>
      <c r="F96" s="2">
        <v>0.39933333333333332</v>
      </c>
      <c r="G96" s="2">
        <v>0.10033333333333334</v>
      </c>
      <c r="H96" s="2">
        <v>9.3333333333333338E-2</v>
      </c>
      <c r="I96" s="2">
        <f t="shared" si="6"/>
        <v>4.2496279333333336</v>
      </c>
      <c r="J96" s="2">
        <f t="shared" si="8"/>
        <v>3.4251546663333334</v>
      </c>
    </row>
    <row r="97" spans="2:10" ht="15.75" customHeight="1" x14ac:dyDescent="0.35">
      <c r="B97" s="2" t="s">
        <v>100</v>
      </c>
      <c r="C97" s="2">
        <v>0.16333333333333333</v>
      </c>
      <c r="D97" s="2">
        <v>0.16333333333333333</v>
      </c>
      <c r="E97" s="2">
        <v>0.33766666666666673</v>
      </c>
      <c r="F97" s="2">
        <v>0.33400000000000002</v>
      </c>
      <c r="G97" s="2">
        <v>8.9333333333333334E-2</v>
      </c>
      <c r="H97" s="2">
        <v>8.433333333333333E-2</v>
      </c>
      <c r="I97" s="2">
        <f t="shared" si="6"/>
        <v>3.5217638666666669</v>
      </c>
      <c r="J97" s="2">
        <f t="shared" si="8"/>
        <v>2.6972905996666667</v>
      </c>
    </row>
    <row r="98" spans="2:10" ht="15.75" customHeight="1" x14ac:dyDescent="0.35">
      <c r="B98" s="2" t="s">
        <v>107</v>
      </c>
      <c r="C98" s="2">
        <v>0.159</v>
      </c>
      <c r="D98" s="2">
        <v>0.16666666666666666</v>
      </c>
      <c r="E98" s="2">
        <v>0.34999999999999992</v>
      </c>
      <c r="F98" s="2">
        <v>0.34600000000000003</v>
      </c>
      <c r="G98" s="2">
        <v>8.8000000000000009E-2</v>
      </c>
      <c r="H98" s="2">
        <v>8.2666666666666666E-2</v>
      </c>
      <c r="I98" s="2">
        <f t="shared" si="6"/>
        <v>3.6626116333333338</v>
      </c>
      <c r="J98" s="2">
        <f t="shared" si="8"/>
        <v>2.8381383663333337</v>
      </c>
    </row>
    <row r="99" spans="2:10" ht="15.75" customHeight="1" x14ac:dyDescent="0.35">
      <c r="B99" s="2" t="s">
        <v>87</v>
      </c>
      <c r="C99" s="2">
        <v>0.158</v>
      </c>
      <c r="D99" s="2">
        <v>0.15866666666666665</v>
      </c>
      <c r="E99" s="2">
        <v>0.27733333333333338</v>
      </c>
      <c r="F99" s="2">
        <v>0.27500000000000002</v>
      </c>
      <c r="G99" s="2">
        <v>0.10266666666666667</v>
      </c>
      <c r="H99" s="2">
        <v>9.7666666666666679E-2</v>
      </c>
      <c r="I99" s="2">
        <f t="shared" si="6"/>
        <v>2.8079112000000004</v>
      </c>
      <c r="J99" s="2">
        <f t="shared" si="8"/>
        <v>1.9834379330000003</v>
      </c>
    </row>
    <row r="100" spans="2:10" ht="15.75" customHeight="1" x14ac:dyDescent="0.35">
      <c r="B100" s="2" t="s">
        <v>93</v>
      </c>
      <c r="C100" s="2">
        <v>0.16633333333333333</v>
      </c>
      <c r="D100" s="2">
        <v>0.16233333333333333</v>
      </c>
      <c r="E100" s="2">
        <v>0.314</v>
      </c>
      <c r="F100" s="2">
        <v>0.31066666666666665</v>
      </c>
      <c r="G100" s="2">
        <v>9.6000000000000016E-2</v>
      </c>
      <c r="H100" s="2">
        <v>9.1666666666666674E-2</v>
      </c>
      <c r="I100" s="2">
        <f t="shared" si="6"/>
        <v>3.2342813333333336</v>
      </c>
      <c r="J100" s="2">
        <f t="shared" si="8"/>
        <v>2.4098080663333334</v>
      </c>
    </row>
    <row r="101" spans="2:10" ht="15.75" customHeight="1" x14ac:dyDescent="0.35">
      <c r="B101" s="2" t="s">
        <v>101</v>
      </c>
      <c r="C101" s="2">
        <v>0.16233333333333333</v>
      </c>
      <c r="D101" s="2">
        <v>0.16300000000000001</v>
      </c>
      <c r="E101" s="2">
        <v>0.32433333333333336</v>
      </c>
      <c r="F101" s="2">
        <v>0.32200000000000001</v>
      </c>
      <c r="G101" s="2">
        <v>9.7666666666666679E-2</v>
      </c>
      <c r="H101" s="2">
        <v>9.2000000000000012E-2</v>
      </c>
      <c r="I101" s="2">
        <f t="shared" si="6"/>
        <v>3.3674265333333335</v>
      </c>
      <c r="J101" s="2">
        <f t="shared" si="8"/>
        <v>2.5429532663333334</v>
      </c>
    </row>
    <row r="102" spans="2:10" ht="15.75" customHeight="1" x14ac:dyDescent="0.35">
      <c r="B102" s="2" t="s">
        <v>108</v>
      </c>
      <c r="C102" s="2">
        <v>0.13533333333333333</v>
      </c>
      <c r="D102" s="2">
        <v>0.13166666666666668</v>
      </c>
      <c r="E102" s="2">
        <v>0.22</v>
      </c>
      <c r="F102" s="2">
        <v>0.21866666666666668</v>
      </c>
      <c r="G102" s="2">
        <v>9.0333333333333335E-2</v>
      </c>
      <c r="H102" s="2">
        <v>8.666666666666667E-2</v>
      </c>
      <c r="I102" s="2">
        <f t="shared" si="6"/>
        <v>2.2074312333333332</v>
      </c>
      <c r="J102" s="2">
        <f t="shared" si="8"/>
        <v>1.3829579663333331</v>
      </c>
    </row>
    <row r="103" spans="2:10" ht="15.75" customHeight="1" x14ac:dyDescent="0.35">
      <c r="B103" s="2" t="s">
        <v>114</v>
      </c>
      <c r="C103" s="2">
        <v>0.14399999999999999</v>
      </c>
      <c r="D103" s="2">
        <v>0.14766666666666664</v>
      </c>
      <c r="E103" s="2">
        <v>0.27366666666666667</v>
      </c>
      <c r="F103" s="2">
        <v>0.27066666666666667</v>
      </c>
      <c r="G103" s="2">
        <v>9.0666666666666673E-2</v>
      </c>
      <c r="H103" s="2">
        <v>8.5666666666666669E-2</v>
      </c>
      <c r="I103" s="2">
        <f t="shared" si="6"/>
        <v>2.7972003000000001</v>
      </c>
      <c r="J103" s="2">
        <f t="shared" si="8"/>
        <v>1.972727033</v>
      </c>
    </row>
    <row r="104" spans="2:10" ht="15.75" customHeight="1" x14ac:dyDescent="0.35">
      <c r="B104" s="2" t="s">
        <v>119</v>
      </c>
      <c r="C104" s="2">
        <v>0.14533333333333334</v>
      </c>
      <c r="D104" s="2">
        <v>0.14233333333333334</v>
      </c>
      <c r="E104" s="2">
        <v>0.27333333333333337</v>
      </c>
      <c r="F104" s="2">
        <v>0.27133333333333337</v>
      </c>
      <c r="G104" s="2">
        <v>8.900000000000001E-2</v>
      </c>
      <c r="H104" s="2">
        <v>8.4000000000000005E-2</v>
      </c>
      <c r="I104" s="2">
        <f t="shared" si="6"/>
        <v>2.8164302333333344</v>
      </c>
      <c r="J104" s="2">
        <f t="shared" si="8"/>
        <v>1.9919569663333343</v>
      </c>
    </row>
    <row r="105" spans="2:10" ht="15.75" customHeight="1" x14ac:dyDescent="0.35">
      <c r="B105" s="2" t="s">
        <v>124</v>
      </c>
      <c r="C105" s="2">
        <v>0.16466666666666666</v>
      </c>
      <c r="D105" s="2">
        <v>0.16566666666666666</v>
      </c>
      <c r="E105" s="2">
        <v>0.34866666666666662</v>
      </c>
      <c r="F105" s="2">
        <v>0.34599999999999992</v>
      </c>
      <c r="G105" s="2">
        <v>9.0666666666666673E-2</v>
      </c>
      <c r="H105" s="2">
        <v>8.433333333333333E-2</v>
      </c>
      <c r="I105" s="2">
        <f t="shared" si="6"/>
        <v>3.6586644333333327</v>
      </c>
      <c r="J105" s="2">
        <f t="shared" si="8"/>
        <v>2.8341911663333326</v>
      </c>
    </row>
    <row r="106" spans="2:10" ht="15.75" customHeight="1" x14ac:dyDescent="0.35"/>
    <row r="107" spans="2:10" ht="15.75" customHeight="1" x14ac:dyDescent="0.35"/>
    <row r="108" spans="2:10" ht="15.75" customHeight="1" x14ac:dyDescent="0.35"/>
    <row r="109" spans="2:10" ht="15.75" customHeight="1" x14ac:dyDescent="0.35"/>
    <row r="110" spans="2:10" ht="15.75" customHeight="1" x14ac:dyDescent="0.35"/>
    <row r="111" spans="2:10" ht="15.75" customHeight="1" x14ac:dyDescent="0.35"/>
    <row r="112" spans="2:10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6">
    <mergeCell ref="A39:A44"/>
    <mergeCell ref="A45:A50"/>
    <mergeCell ref="A51:A56"/>
    <mergeCell ref="A57:A62"/>
    <mergeCell ref="O14:O19"/>
    <mergeCell ref="A15:A20"/>
    <mergeCell ref="O20:O25"/>
    <mergeCell ref="A21:A26"/>
    <mergeCell ref="O26:O31"/>
    <mergeCell ref="A27:A32"/>
    <mergeCell ref="A33:A38"/>
    <mergeCell ref="O32:O37"/>
    <mergeCell ref="O38:O43"/>
    <mergeCell ref="O44:O49"/>
    <mergeCell ref="O50:O55"/>
    <mergeCell ref="O56:O61"/>
  </mergeCells>
  <hyperlinks>
    <hyperlink ref="K64" r:id="rId1" xr:uid="{00000000-0004-0000-04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CIMAR_EndosymCount</vt:lpstr>
      <vt:lpstr>CIMAR_Protein</vt:lpstr>
      <vt:lpstr>CIMAR_Ch</vt:lpstr>
      <vt:lpstr>Example</vt:lpstr>
      <vt:lpstr>Chl_example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דר גולומב</cp:lastModifiedBy>
  <dcterms:created xsi:type="dcterms:W3CDTF">2022-12-04T01:05:29Z</dcterms:created>
  <dcterms:modified xsi:type="dcterms:W3CDTF">2026-10-19T15:23:09Z</dcterms:modified>
</cp:coreProperties>
</file>